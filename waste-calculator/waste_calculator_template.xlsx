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入力" sheetId="2" state="visible" r:id="rId2"/>
    <sheet name="比較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1F3D24"/>
      <sz val="14"/>
    </font>
    <font>
      <name val="Arial"/>
      <color rgb="006B6F65"/>
      <sz val="10"/>
    </font>
    <font>
      <name val="Arial"/>
      <b val="1"/>
      <color rgb="001F3D24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B6F65"/>
      <sz val="9"/>
    </font>
    <font>
      <name val="Arial"/>
      <b val="1"/>
      <color rgb="00FFFFFF"/>
      <sz val="10"/>
    </font>
    <font>
      <name val="Arial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D24"/>
      </patternFill>
    </fill>
  </fills>
  <borders count="2">
    <border>
      <left/>
      <right/>
      <top/>
      <bottom/>
      <diagonal/>
    </border>
    <border>
      <left style="thin">
        <color rgb="00D9DCD3"/>
      </left>
      <right style="thin">
        <color rgb="00D9DCD3"/>
      </right>
      <top style="thin">
        <color rgb="00D9DCD3"/>
      </top>
      <bottom style="thin">
        <color rgb="00D9DCD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9" fillId="0" borderId="1" pivotButton="0" quotePrefix="0" xfId="0"/>
    <xf numFmtId="3" fontId="9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1" t="inlineStr">
        <is>
          <t>廃棄物コネクト 案件量計算ツール</t>
        </is>
      </c>
    </row>
    <row r="3">
      <c r="B3" s="2" t="inlineStr">
        <is>
          <t>ヒアリング内容から月間の袋数・容量・概算料金を自動計算するテンプレートです。</t>
        </is>
      </c>
    </row>
    <row r="5">
      <c r="B5" s="3" t="inlineStr">
        <is>
          <t>① 入力シート</t>
        </is>
      </c>
    </row>
    <row r="6">
      <c r="B6" s="4" t="inlineStr">
        <is>
          <t>青字のセルのみ入力してください（黒字は自動計算の数式です）。</t>
        </is>
      </c>
    </row>
    <row r="7">
      <c r="B7" s="4" t="inlineStr">
        <is>
          <t>・ラボ名：案件（ラボ）ごとに同じ表記で統一してください（比較表で名前を突き合わせます）</t>
        </is>
      </c>
    </row>
    <row r="8">
      <c r="B8" s="4" t="inlineStr">
        <is>
          <t>・種別：可燃ごみ／生ごみ／不燃ごみ／瓶／缶／ペットボトル／段ボール／その他 からセルのドロップダウンで選択できます</t>
        </is>
      </c>
    </row>
    <row r="9">
      <c r="B9" s="4" t="inlineStr">
        <is>
          <t>・頻度パターン：</t>
        </is>
      </c>
    </row>
    <row r="10">
      <c r="B10" s="4" t="inlineStr">
        <is>
          <t xml:space="preserve">　「日」＝1回（1日）あたりの数量 × 週の収集日数　（例：1〜2袋/日、週5回）</t>
        </is>
      </c>
    </row>
    <row r="11">
      <c r="B11" s="4" t="inlineStr">
        <is>
          <t xml:space="preserve">　「週」＝週あたりの数量をそのまま入力　（例：週に1〜2袋、瓶・缶・ペットボトルなど）</t>
        </is>
      </c>
    </row>
    <row r="12">
      <c r="B12" s="4" t="inlineStr">
        <is>
          <t>・週の収集日数：頻度パターンが「日」の場合のみ入力してください</t>
        </is>
      </c>
    </row>
    <row r="13">
      <c r="B13" s="4" t="inlineStr">
        <is>
          <t>・袋サイズ(L)：容量を計算したい場合のみ入力（段ボール等「枚」単位の項目は空欄でOK）</t>
        </is>
      </c>
    </row>
    <row r="14">
      <c r="B14" s="4" t="inlineStr">
        <is>
          <t>・単価(円)：概算料金を出したい場合のみ入力（未入力の項目は料金計算から除外されます）</t>
        </is>
      </c>
    </row>
    <row r="15">
      <c r="B15" s="4" t="inlineStr"/>
    </row>
    <row r="16">
      <c r="B16" s="3" t="inlineStr">
        <is>
          <t>② 比較表シート</t>
        </is>
      </c>
    </row>
    <row r="17">
      <c r="B17" s="4" t="inlineStr">
        <is>
          <t>入力シートに登録したラボ名を1行ずつ入力すると、種別ごとの月間量・合計容量・概算料金が自動集計されます。</t>
        </is>
      </c>
    </row>
    <row r="18">
      <c r="B18" s="4" t="inlineStr">
        <is>
          <t>ラボ名は入力シートの表記と完全に一致させてください。</t>
        </is>
      </c>
    </row>
    <row r="19">
      <c r="B19" s="4" t="inlineStr"/>
    </row>
    <row r="20">
      <c r="B20" s="3" t="inlineStr">
        <is>
          <t>③ 前提</t>
        </is>
      </c>
    </row>
    <row r="21">
      <c r="B21" s="4" t="inlineStr">
        <is>
          <t>1ヶ月あたりの週数は「入力」シート C1 セルで設定しています（既定値 4.35 週 ＝ 365日 ÷ 12ヶ月 ÷ 7日）。</t>
        </is>
      </c>
    </row>
    <row r="22">
      <c r="B22" s="4" t="inlineStr">
        <is>
          <t>数量が明記されていない項目（例：「不燃物 週2日」のみで数量記載なし）は 1回1袋 と仮定しています。実数が分かり次第、入力シートの数量を修正してください。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6" customWidth="1" min="4" max="4"/>
    <col width="14" customWidth="1" min="5" max="5"/>
    <col width="14" customWidth="1" min="6" max="6"/>
    <col width="18" customWidth="1" min="7" max="7"/>
    <col width="10" customWidth="1" min="8" max="8"/>
    <col width="10" customWidth="1" min="9" max="9"/>
    <col width="12" customWidth="1" min="10" max="10"/>
    <col width="12" customWidth="1" min="11" max="11"/>
    <col width="14" customWidth="1" min="12" max="12"/>
  </cols>
  <sheetData>
    <row r="1">
      <c r="A1" s="5" t="inlineStr">
        <is>
          <t>1ヶ月あたりの週数</t>
        </is>
      </c>
      <c r="C1" s="6" t="n">
        <v>4.35</v>
      </c>
      <c r="D1" s="7" t="inlineStr">
        <is>
          <t>※365日÷12ヶ月÷7日で算出した平均週数。必要に応じて変更してください。</t>
        </is>
      </c>
    </row>
    <row r="3" ht="30" customHeight="1">
      <c r="A3" s="8" t="inlineStr">
        <is>
          <t>ラボ名</t>
        </is>
      </c>
      <c r="B3" s="8" t="inlineStr">
        <is>
          <t>種別</t>
        </is>
      </c>
      <c r="C3" s="8" t="inlineStr">
        <is>
          <t>単位(袋/枚)</t>
        </is>
      </c>
      <c r="D3" s="8" t="inlineStr">
        <is>
          <t>頻度パターン(日/週)</t>
        </is>
      </c>
      <c r="E3" s="8" t="inlineStr">
        <is>
          <t>数量min(1回あたり)</t>
        </is>
      </c>
      <c r="F3" s="8" t="inlineStr">
        <is>
          <t>数量max(1回あたり)</t>
        </is>
      </c>
      <c r="G3" s="8" t="inlineStr">
        <is>
          <t>週の収集日数(日パターンのみ)</t>
        </is>
      </c>
      <c r="H3" s="8" t="inlineStr">
        <is>
          <t>袋サイズ(L)</t>
        </is>
      </c>
      <c r="I3" s="8" t="inlineStr">
        <is>
          <t>単価(円)</t>
        </is>
      </c>
      <c r="J3" s="8" t="inlineStr">
        <is>
          <t>月間量(平均)</t>
        </is>
      </c>
      <c r="K3" s="8" t="inlineStr">
        <is>
          <t>月間容量(L)</t>
        </is>
      </c>
      <c r="L3" s="8" t="inlineStr">
        <is>
          <t>月間概算料金(円)</t>
        </is>
      </c>
    </row>
    <row r="4">
      <c r="A4" s="9" t="inlineStr">
        <is>
          <t>サンプルラボA（新宿区新規ラボ想定）</t>
        </is>
      </c>
      <c r="B4" s="9" t="inlineStr">
        <is>
          <t>可燃ごみ</t>
        </is>
      </c>
      <c r="C4" s="9" t="inlineStr">
        <is>
          <t>袋</t>
        </is>
      </c>
      <c r="D4" s="9" t="inlineStr">
        <is>
          <t>日</t>
        </is>
      </c>
      <c r="E4" s="9" t="n">
        <v>1</v>
      </c>
      <c r="F4" s="9" t="n">
        <v>2</v>
      </c>
      <c r="G4" s="9" t="n">
        <v>7</v>
      </c>
      <c r="H4" s="9" t="n">
        <v>45</v>
      </c>
      <c r="I4" s="9" t="inlineStr"/>
      <c r="J4" s="10">
        <f>IF(E4="","",IF(D4="日",(E4+F4)/2*G4,(E4+F4)/2)*$C$1)</f>
        <v/>
      </c>
      <c r="K4" s="10">
        <f>IF(OR(J4="",H4=""),"",J4*H4)</f>
        <v/>
      </c>
      <c r="L4" s="11">
        <f>IF(OR(J4="",I4=""),"",J4*I4)</f>
        <v/>
      </c>
    </row>
    <row r="5">
      <c r="A5" s="9" t="inlineStr">
        <is>
          <t>サンプルラボA（新宿区新規ラボ想定）</t>
        </is>
      </c>
      <c r="B5" s="9" t="inlineStr">
        <is>
          <t>生ごみ</t>
        </is>
      </c>
      <c r="C5" s="9" t="inlineStr">
        <is>
          <t>袋</t>
        </is>
      </c>
      <c r="D5" s="9" t="inlineStr">
        <is>
          <t>日</t>
        </is>
      </c>
      <c r="E5" s="9" t="n">
        <v>1</v>
      </c>
      <c r="F5" s="9" t="n">
        <v>2</v>
      </c>
      <c r="G5" s="9" t="n">
        <v>7</v>
      </c>
      <c r="H5" s="9" t="n">
        <v>45</v>
      </c>
      <c r="I5" s="9" t="inlineStr"/>
      <c r="J5" s="10">
        <f>IF(E5="","",IF(D5="日",(E5+F5)/2*G5,(E5+F5)/2)*$C$1)</f>
        <v/>
      </c>
      <c r="K5" s="10">
        <f>IF(OR(J5="",H5=""),"",J5*H5)</f>
        <v/>
      </c>
      <c r="L5" s="11">
        <f>IF(OR(J5="",I5=""),"",J5*I5)</f>
        <v/>
      </c>
    </row>
    <row r="6">
      <c r="A6" s="9" t="inlineStr">
        <is>
          <t>サンプルラボA（新宿区新規ラボ想定）</t>
        </is>
      </c>
      <c r="B6" s="9" t="inlineStr">
        <is>
          <t>瓶</t>
        </is>
      </c>
      <c r="C6" s="9" t="inlineStr">
        <is>
          <t>袋</t>
        </is>
      </c>
      <c r="D6" s="9" t="inlineStr">
        <is>
          <t>週</t>
        </is>
      </c>
      <c r="E6" s="9" t="n">
        <v>1</v>
      </c>
      <c r="F6" s="9" t="n">
        <v>2</v>
      </c>
      <c r="G6" s="9" t="inlineStr"/>
      <c r="H6" s="9" t="n">
        <v>45</v>
      </c>
      <c r="I6" s="9" t="inlineStr"/>
      <c r="J6" s="10">
        <f>IF(E6="","",IF(D6="日",(E6+F6)/2*G6,(E6+F6)/2)*$C$1)</f>
        <v/>
      </c>
      <c r="K6" s="10">
        <f>IF(OR(J6="",H6=""),"",J6*H6)</f>
        <v/>
      </c>
      <c r="L6" s="11">
        <f>IF(OR(J6="",I6=""),"",J6*I6)</f>
        <v/>
      </c>
    </row>
    <row r="7">
      <c r="A7" s="9" t="inlineStr">
        <is>
          <t>サンプルラボA（新宿区新規ラボ想定）</t>
        </is>
      </c>
      <c r="B7" s="9" t="inlineStr">
        <is>
          <t>缶</t>
        </is>
      </c>
      <c r="C7" s="9" t="inlineStr">
        <is>
          <t>袋</t>
        </is>
      </c>
      <c r="D7" s="9" t="inlineStr">
        <is>
          <t>週</t>
        </is>
      </c>
      <c r="E7" s="9" t="n">
        <v>1</v>
      </c>
      <c r="F7" s="9" t="n">
        <v>2</v>
      </c>
      <c r="G7" s="9" t="inlineStr"/>
      <c r="H7" s="9" t="n">
        <v>45</v>
      </c>
      <c r="I7" s="9" t="inlineStr"/>
      <c r="J7" s="10">
        <f>IF(E7="","",IF(D7="日",(E7+F7)/2*G7,(E7+F7)/2)*$C$1)</f>
        <v/>
      </c>
      <c r="K7" s="10">
        <f>IF(OR(J7="",H7=""),"",J7*H7)</f>
        <v/>
      </c>
      <c r="L7" s="11">
        <f>IF(OR(J7="",I7=""),"",J7*I7)</f>
        <v/>
      </c>
    </row>
    <row r="8">
      <c r="A8" s="9" t="inlineStr">
        <is>
          <t>サンプルラボA（新宿区新規ラボ想定）</t>
        </is>
      </c>
      <c r="B8" s="9" t="inlineStr">
        <is>
          <t>ペットボトル</t>
        </is>
      </c>
      <c r="C8" s="9" t="inlineStr">
        <is>
          <t>袋</t>
        </is>
      </c>
      <c r="D8" s="9" t="inlineStr">
        <is>
          <t>週</t>
        </is>
      </c>
      <c r="E8" s="9" t="n">
        <v>1</v>
      </c>
      <c r="F8" s="9" t="n">
        <v>2</v>
      </c>
      <c r="G8" s="9" t="inlineStr"/>
      <c r="H8" s="9" t="n">
        <v>45</v>
      </c>
      <c r="I8" s="9" t="inlineStr"/>
      <c r="J8" s="10">
        <f>IF(E8="","",IF(D8="日",(E8+F8)/2*G8,(E8+F8)/2)*$C$1)</f>
        <v/>
      </c>
      <c r="K8" s="10">
        <f>IF(OR(J8="",H8=""),"",J8*H8)</f>
        <v/>
      </c>
      <c r="L8" s="11">
        <f>IF(OR(J8="",I8=""),"",J8*I8)</f>
        <v/>
      </c>
    </row>
    <row r="9">
      <c r="A9" s="9" t="inlineStr">
        <is>
          <t>サンプルラボA（新宿区新規ラボ想定）</t>
        </is>
      </c>
      <c r="B9" s="9" t="inlineStr">
        <is>
          <t>段ボール</t>
        </is>
      </c>
      <c r="C9" s="9" t="inlineStr">
        <is>
          <t>枚</t>
        </is>
      </c>
      <c r="D9" s="9" t="inlineStr">
        <is>
          <t>週</t>
        </is>
      </c>
      <c r="E9" s="9" t="n">
        <v>5</v>
      </c>
      <c r="F9" s="9" t="n">
        <v>10</v>
      </c>
      <c r="G9" s="9" t="inlineStr"/>
      <c r="H9" s="9" t="inlineStr"/>
      <c r="I9" s="9" t="inlineStr"/>
      <c r="J9" s="10">
        <f>IF(E9="","",IF(D9="日",(E9+F9)/2*G9,(E9+F9)/2)*$C$1)</f>
        <v/>
      </c>
      <c r="K9" s="10">
        <f>IF(OR(J9="",H9=""),"",J9*H9)</f>
        <v/>
      </c>
      <c r="L9" s="11">
        <f>IF(OR(J9="",I9=""),"",J9*I9)</f>
        <v/>
      </c>
    </row>
    <row r="10">
      <c r="A10" s="9" t="inlineStr">
        <is>
          <t>サンプルラボB（中野区の現ラボ想定）</t>
        </is>
      </c>
      <c r="B10" s="9" t="inlineStr">
        <is>
          <t>可燃ごみ</t>
        </is>
      </c>
      <c r="C10" s="9" t="inlineStr">
        <is>
          <t>袋</t>
        </is>
      </c>
      <c r="D10" s="9" t="inlineStr">
        <is>
          <t>日</t>
        </is>
      </c>
      <c r="E10" s="9" t="n">
        <v>1</v>
      </c>
      <c r="F10" s="9" t="n">
        <v>2</v>
      </c>
      <c r="G10" s="9" t="n">
        <v>5</v>
      </c>
      <c r="H10" s="9" t="n">
        <v>45</v>
      </c>
      <c r="I10" s="9" t="n">
        <v>120</v>
      </c>
      <c r="J10" s="10">
        <f>IF(E10="","",IF(D10="日",(E10+F10)/2*G10,(E10+F10)/2)*$C$1)</f>
        <v/>
      </c>
      <c r="K10" s="10">
        <f>IF(OR(J10="",H10=""),"",J10*H10)</f>
        <v/>
      </c>
      <c r="L10" s="11">
        <f>IF(OR(J10="",I10=""),"",J10*I10)</f>
        <v/>
      </c>
    </row>
    <row r="11">
      <c r="A11" s="9" t="inlineStr">
        <is>
          <t>サンプルラボB（中野区の現ラボ想定）</t>
        </is>
      </c>
      <c r="B11" s="9" t="inlineStr">
        <is>
          <t>不燃ごみ</t>
        </is>
      </c>
      <c r="C11" s="9" t="inlineStr">
        <is>
          <t>袋</t>
        </is>
      </c>
      <c r="D11" s="9" t="inlineStr">
        <is>
          <t>日</t>
        </is>
      </c>
      <c r="E11" s="9" t="n">
        <v>1</v>
      </c>
      <c r="F11" s="9" t="n">
        <v>1</v>
      </c>
      <c r="G11" s="9" t="n">
        <v>2</v>
      </c>
      <c r="H11" s="9" t="n">
        <v>45</v>
      </c>
      <c r="I11" s="9" t="n">
        <v>120</v>
      </c>
      <c r="J11" s="10">
        <f>IF(E11="","",IF(D11="日",(E11+F11)/2*G11,(E11+F11)/2)*$C$1)</f>
        <v/>
      </c>
      <c r="K11" s="10">
        <f>IF(OR(J11="",H11=""),"",J11*H11)</f>
        <v/>
      </c>
      <c r="L11" s="11">
        <f>IF(OR(J11="",I11=""),"",J11*I11)</f>
        <v/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0">
        <f>IF(E12="","",IF(D12="日",(E12+F12)/2*G12,(E12+F12)/2)*$C$1)</f>
        <v/>
      </c>
      <c r="K12" s="10">
        <f>IF(OR(J12="",H12=""),"",J12*H12)</f>
        <v/>
      </c>
      <c r="L12" s="11">
        <f>IF(OR(J12="",I12=""),"",J12*I12)</f>
        <v/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0">
        <f>IF(E13="","",IF(D13="日",(E13+F13)/2*G13,(E13+F13)/2)*$C$1)</f>
        <v/>
      </c>
      <c r="K13" s="10">
        <f>IF(OR(J13="",H13=""),"",J13*H13)</f>
        <v/>
      </c>
      <c r="L13" s="11">
        <f>IF(OR(J13="",I13=""),"",J13*I13)</f>
        <v/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0">
        <f>IF(E14="","",IF(D14="日",(E14+F14)/2*G14,(E14+F14)/2)*$C$1)</f>
        <v/>
      </c>
      <c r="K14" s="10">
        <f>IF(OR(J14="",H14=""),"",J14*H14)</f>
        <v/>
      </c>
      <c r="L14" s="11">
        <f>IF(OR(J14="",I14=""),"",J14*I14)</f>
        <v/>
      </c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0">
        <f>IF(E15="","",IF(D15="日",(E15+F15)/2*G15,(E15+F15)/2)*$C$1)</f>
        <v/>
      </c>
      <c r="K15" s="10">
        <f>IF(OR(J15="",H15=""),"",J15*H15)</f>
        <v/>
      </c>
      <c r="L15" s="11">
        <f>IF(OR(J15="",I15=""),"",J15*I15)</f>
        <v/>
      </c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0">
        <f>IF(E16="","",IF(D16="日",(E16+F16)/2*G16,(E16+F16)/2)*$C$1)</f>
        <v/>
      </c>
      <c r="K16" s="10">
        <f>IF(OR(J16="",H16=""),"",J16*H16)</f>
        <v/>
      </c>
      <c r="L16" s="11">
        <f>IF(OR(J16="",I16=""),"",J16*I16)</f>
        <v/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0">
        <f>IF(E17="","",IF(D17="日",(E17+F17)/2*G17,(E17+F17)/2)*$C$1)</f>
        <v/>
      </c>
      <c r="K17" s="10">
        <f>IF(OR(J17="",H17=""),"",J17*H17)</f>
        <v/>
      </c>
      <c r="L17" s="11">
        <f>IF(OR(J17="",I17=""),"",J17*I17)</f>
        <v/>
      </c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0">
        <f>IF(E18="","",IF(D18="日",(E18+F18)/2*G18,(E18+F18)/2)*$C$1)</f>
        <v/>
      </c>
      <c r="K18" s="10">
        <f>IF(OR(J18="",H18=""),"",J18*H18)</f>
        <v/>
      </c>
      <c r="L18" s="11">
        <f>IF(OR(J18="",I18=""),"",J18*I18)</f>
        <v/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0">
        <f>IF(E19="","",IF(D19="日",(E19+F19)/2*G19,(E19+F19)/2)*$C$1)</f>
        <v/>
      </c>
      <c r="K19" s="10">
        <f>IF(OR(J19="",H19=""),"",J19*H19)</f>
        <v/>
      </c>
      <c r="L19" s="11">
        <f>IF(OR(J19="",I19=""),"",J19*I19)</f>
        <v/>
      </c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0">
        <f>IF(E20="","",IF(D20="日",(E20+F20)/2*G20,(E20+F20)/2)*$C$1)</f>
        <v/>
      </c>
      <c r="K20" s="10">
        <f>IF(OR(J20="",H20=""),"",J20*H20)</f>
        <v/>
      </c>
      <c r="L20" s="11">
        <f>IF(OR(J20="",I20=""),"",J20*I20)</f>
        <v/>
      </c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0">
        <f>IF(E21="","",IF(D21="日",(E21+F21)/2*G21,(E21+F21)/2)*$C$1)</f>
        <v/>
      </c>
      <c r="K21" s="10">
        <f>IF(OR(J21="",H21=""),"",J21*H21)</f>
        <v/>
      </c>
      <c r="L21" s="11">
        <f>IF(OR(J21="",I21=""),"",J21*I21)</f>
        <v/>
      </c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0">
        <f>IF(E22="","",IF(D22="日",(E22+F22)/2*G22,(E22+F22)/2)*$C$1)</f>
        <v/>
      </c>
      <c r="K22" s="10">
        <f>IF(OR(J22="",H22=""),"",J22*H22)</f>
        <v/>
      </c>
      <c r="L22" s="11">
        <f>IF(OR(J22="",I22=""),"",J22*I22)</f>
        <v/>
      </c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0">
        <f>IF(E23="","",IF(D23="日",(E23+F23)/2*G23,(E23+F23)/2)*$C$1)</f>
        <v/>
      </c>
      <c r="K23" s="10">
        <f>IF(OR(J23="",H23=""),"",J23*H23)</f>
        <v/>
      </c>
      <c r="L23" s="11">
        <f>IF(OR(J23="",I23=""),"",J23*I23)</f>
        <v/>
      </c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0">
        <f>IF(E24="","",IF(D24="日",(E24+F24)/2*G24,(E24+F24)/2)*$C$1)</f>
        <v/>
      </c>
      <c r="K24" s="10">
        <f>IF(OR(J24="",H24=""),"",J24*H24)</f>
        <v/>
      </c>
      <c r="L24" s="11">
        <f>IF(OR(J24="",I24=""),"",J24*I24)</f>
        <v/>
      </c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0">
        <f>IF(E25="","",IF(D25="日",(E25+F25)/2*G25,(E25+F25)/2)*$C$1)</f>
        <v/>
      </c>
      <c r="K25" s="10">
        <f>IF(OR(J25="",H25=""),"",J25*H25)</f>
        <v/>
      </c>
      <c r="L25" s="11">
        <f>IF(OR(J25="",I25=""),"",J25*I25)</f>
        <v/>
      </c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0">
        <f>IF(E26="","",IF(D26="日",(E26+F26)/2*G26,(E26+F26)/2)*$C$1)</f>
        <v/>
      </c>
      <c r="K26" s="10">
        <f>IF(OR(J26="",H26=""),"",J26*H26)</f>
        <v/>
      </c>
      <c r="L26" s="11">
        <f>IF(OR(J26="",I26=""),"",J26*I26)</f>
        <v/>
      </c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0">
        <f>IF(E27="","",IF(D27="日",(E27+F27)/2*G27,(E27+F27)/2)*$C$1)</f>
        <v/>
      </c>
      <c r="K27" s="10">
        <f>IF(OR(J27="",H27=""),"",J27*H27)</f>
        <v/>
      </c>
      <c r="L27" s="11">
        <f>IF(OR(J27="",I27=""),"",J27*I27)</f>
        <v/>
      </c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0">
        <f>IF(E28="","",IF(D28="日",(E28+F28)/2*G28,(E28+F28)/2)*$C$1)</f>
        <v/>
      </c>
      <c r="K28" s="10">
        <f>IF(OR(J28="",H28=""),"",J28*H28)</f>
        <v/>
      </c>
      <c r="L28" s="11">
        <f>IF(OR(J28="",I28=""),"",J28*I28)</f>
        <v/>
      </c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0">
        <f>IF(E29="","",IF(D29="日",(E29+F29)/2*G29,(E29+F29)/2)*$C$1)</f>
        <v/>
      </c>
      <c r="K29" s="10">
        <f>IF(OR(J29="",H29=""),"",J29*H29)</f>
        <v/>
      </c>
      <c r="L29" s="11">
        <f>IF(OR(J29="",I29=""),"",J29*I29)</f>
        <v/>
      </c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0">
        <f>IF(E30="","",IF(D30="日",(E30+F30)/2*G30,(E30+F30)/2)*$C$1)</f>
        <v/>
      </c>
      <c r="K30" s="10">
        <f>IF(OR(J30="",H30=""),"",J30*H30)</f>
        <v/>
      </c>
      <c r="L30" s="11">
        <f>IF(OR(J30="",I30=""),"",J30*I30)</f>
        <v/>
      </c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0">
        <f>IF(E31="","",IF(D31="日",(E31+F31)/2*G31,(E31+F31)/2)*$C$1)</f>
        <v/>
      </c>
      <c r="K31" s="10">
        <f>IF(OR(J31="",H31=""),"",J31*H31)</f>
        <v/>
      </c>
      <c r="L31" s="11">
        <f>IF(OR(J31="",I31=""),"",J31*I31)</f>
        <v/>
      </c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0">
        <f>IF(E32="","",IF(D32="日",(E32+F32)/2*G32,(E32+F32)/2)*$C$1)</f>
        <v/>
      </c>
      <c r="K32" s="10">
        <f>IF(OR(J32="",H32=""),"",J32*H32)</f>
        <v/>
      </c>
      <c r="L32" s="11">
        <f>IF(OR(J32="",I32=""),"",J32*I32)</f>
        <v/>
      </c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0">
        <f>IF(E33="","",IF(D33="日",(E33+F33)/2*G33,(E33+F33)/2)*$C$1)</f>
        <v/>
      </c>
      <c r="K33" s="10">
        <f>IF(OR(J33="",H33=""),"",J33*H33)</f>
        <v/>
      </c>
      <c r="L33" s="11">
        <f>IF(OR(J33="",I33=""),"",J33*I33)</f>
        <v/>
      </c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0">
        <f>IF(E34="","",IF(D34="日",(E34+F34)/2*G34,(E34+F34)/2)*$C$1)</f>
        <v/>
      </c>
      <c r="K34" s="10">
        <f>IF(OR(J34="",H34=""),"",J34*H34)</f>
        <v/>
      </c>
      <c r="L34" s="11">
        <f>IF(OR(J34="",I34=""),"",J34*I34)</f>
        <v/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0">
        <f>IF(E35="","",IF(D35="日",(E35+F35)/2*G35,(E35+F35)/2)*$C$1)</f>
        <v/>
      </c>
      <c r="K35" s="10">
        <f>IF(OR(J35="",H35=""),"",J35*H35)</f>
        <v/>
      </c>
      <c r="L35" s="11">
        <f>IF(OR(J35="",I35=""),"",J35*I35)</f>
        <v/>
      </c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0">
        <f>IF(E36="","",IF(D36="日",(E36+F36)/2*G36,(E36+F36)/2)*$C$1)</f>
        <v/>
      </c>
      <c r="K36" s="10">
        <f>IF(OR(J36="",H36=""),"",J36*H36)</f>
        <v/>
      </c>
      <c r="L36" s="11">
        <f>IF(OR(J36="",I36=""),"",J36*I36)</f>
        <v/>
      </c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0">
        <f>IF(E37="","",IF(D37="日",(E37+F37)/2*G37,(E37+F37)/2)*$C$1)</f>
        <v/>
      </c>
      <c r="K37" s="10">
        <f>IF(OR(J37="",H37=""),"",J37*H37)</f>
        <v/>
      </c>
      <c r="L37" s="11">
        <f>IF(OR(J37="",I37=""),"",J37*I37)</f>
        <v/>
      </c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0">
        <f>IF(E38="","",IF(D38="日",(E38+F38)/2*G38,(E38+F38)/2)*$C$1)</f>
        <v/>
      </c>
      <c r="K38" s="10">
        <f>IF(OR(J38="",H38=""),"",J38*H38)</f>
        <v/>
      </c>
      <c r="L38" s="11">
        <f>IF(OR(J38="",I38=""),"",J38*I38)</f>
        <v/>
      </c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0">
        <f>IF(E39="","",IF(D39="日",(E39+F39)/2*G39,(E39+F39)/2)*$C$1)</f>
        <v/>
      </c>
      <c r="K39" s="10">
        <f>IF(OR(J39="",H39=""),"",J39*H39)</f>
        <v/>
      </c>
      <c r="L39" s="11">
        <f>IF(OR(J39="",I39=""),"",J39*I39)</f>
        <v/>
      </c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0">
        <f>IF(E40="","",IF(D40="日",(E40+F40)/2*G40,(E40+F40)/2)*$C$1)</f>
        <v/>
      </c>
      <c r="K40" s="10">
        <f>IF(OR(J40="",H40=""),"",J40*H40)</f>
        <v/>
      </c>
      <c r="L40" s="11">
        <f>IF(OR(J40="",I40=""),"",J40*I40)</f>
        <v/>
      </c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0">
        <f>IF(E41="","",IF(D41="日",(E41+F41)/2*G41,(E41+F41)/2)*$C$1)</f>
        <v/>
      </c>
      <c r="K41" s="10">
        <f>IF(OR(J41="",H41=""),"",J41*H41)</f>
        <v/>
      </c>
      <c r="L41" s="11">
        <f>IF(OR(J41="",I41=""),"",J41*I41)</f>
        <v/>
      </c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0">
        <f>IF(E42="","",IF(D42="日",(E42+F42)/2*G42,(E42+F42)/2)*$C$1)</f>
        <v/>
      </c>
      <c r="K42" s="10">
        <f>IF(OR(J42="",H42=""),"",J42*H42)</f>
        <v/>
      </c>
      <c r="L42" s="11">
        <f>IF(OR(J42="",I42=""),"",J42*I42)</f>
        <v/>
      </c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0">
        <f>IF(E43="","",IF(D43="日",(E43+F43)/2*G43,(E43+F43)/2)*$C$1)</f>
        <v/>
      </c>
      <c r="K43" s="10">
        <f>IF(OR(J43="",H43=""),"",J43*H43)</f>
        <v/>
      </c>
      <c r="L43" s="11">
        <f>IF(OR(J43="",I43=""),"",J43*I43)</f>
        <v/>
      </c>
    </row>
  </sheetData>
  <dataValidations count="3">
    <dataValidation sqref="B4:B43" showDropDown="0" showInputMessage="0" showErrorMessage="0" allowBlank="1" type="list">
      <formula1>"可燃ごみ,生ごみ,不燃ごみ,瓶,缶,ペットボトル,段ボール,その他"</formula1>
    </dataValidation>
    <dataValidation sqref="C4:C43" showDropDown="0" showInputMessage="0" showErrorMessage="0" allowBlank="1" type="list">
      <formula1>"袋,枚"</formula1>
    </dataValidation>
    <dataValidation sqref="D4:D43" showDropDown="0" showInputMessage="0" showErrorMessage="0" allowBlank="1" type="list">
      <formula1>"日,週"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収集ラボ間の比較表</t>
        </is>
      </c>
    </row>
    <row r="2">
      <c r="A2" s="2" t="inlineStr">
        <is>
          <t>「入力」シートに登録したラボ名を、下表のA列に入力シートと同じ表記で入力してください。</t>
        </is>
      </c>
    </row>
    <row r="4" ht="28" customHeight="1">
      <c r="A4" s="8" t="inlineStr">
        <is>
          <t>ラボ名</t>
        </is>
      </c>
      <c r="B4" s="8" t="inlineStr">
        <is>
          <t>可燃ごみ</t>
        </is>
      </c>
      <c r="C4" s="8" t="inlineStr">
        <is>
          <t>生ごみ</t>
        </is>
      </c>
      <c r="D4" s="8" t="inlineStr">
        <is>
          <t>不燃ごみ</t>
        </is>
      </c>
      <c r="E4" s="8" t="inlineStr">
        <is>
          <t>瓶</t>
        </is>
      </c>
      <c r="F4" s="8" t="inlineStr">
        <is>
          <t>缶</t>
        </is>
      </c>
      <c r="G4" s="8" t="inlineStr">
        <is>
          <t>ペットボトル</t>
        </is>
      </c>
      <c r="H4" s="8" t="inlineStr">
        <is>
          <t>段ボール</t>
        </is>
      </c>
      <c r="I4" s="8" t="inlineStr">
        <is>
          <t>合計個数</t>
        </is>
      </c>
      <c r="J4" s="8" t="inlineStr">
        <is>
          <t>合計容量(L)</t>
        </is>
      </c>
      <c r="K4" s="8" t="inlineStr">
        <is>
          <t>概算料金合計(円)</t>
        </is>
      </c>
    </row>
    <row r="5">
      <c r="A5" s="9" t="inlineStr">
        <is>
          <t>サンプルラボA（新宿区新規ラボ想定）</t>
        </is>
      </c>
      <c r="B5" s="10">
        <f>IF($A5="","",SUMIFS(入力!$J$4:$J$43,入力!$A$4:$A$43,$A5,入力!$B$4:$B$43,B$4))</f>
        <v/>
      </c>
      <c r="C5" s="10">
        <f>IF($A5="","",SUMIFS(入力!$J$4:$J$43,入力!$A$4:$A$43,$A5,入力!$B$4:$B$43,C$4))</f>
        <v/>
      </c>
      <c r="D5" s="10">
        <f>IF($A5="","",SUMIFS(入力!$J$4:$J$43,入力!$A$4:$A$43,$A5,入力!$B$4:$B$43,D$4))</f>
        <v/>
      </c>
      <c r="E5" s="10">
        <f>IF($A5="","",SUMIFS(入力!$J$4:$J$43,入力!$A$4:$A$43,$A5,入力!$B$4:$B$43,E$4))</f>
        <v/>
      </c>
      <c r="F5" s="10">
        <f>IF($A5="","",SUMIFS(入力!$J$4:$J$43,入力!$A$4:$A$43,$A5,入力!$B$4:$B$43,F$4))</f>
        <v/>
      </c>
      <c r="G5" s="10">
        <f>IF($A5="","",SUMIFS(入力!$J$4:$J$43,入力!$A$4:$A$43,$A5,入力!$B$4:$B$43,G$4))</f>
        <v/>
      </c>
      <c r="H5" s="10">
        <f>IF($A5="","",SUMIFS(入力!$J$4:$J$43,入力!$A$4:$A$43,$A5,入力!$B$4:$B$43,H$4))</f>
        <v/>
      </c>
      <c r="I5" s="11">
        <f>IF($A5="","",SUMIF(入力!$A$4:$A$43,$A5,入力!$J$4:$J$43))</f>
        <v/>
      </c>
      <c r="J5" s="11">
        <f>IF($A5="","",SUMIF(入力!$A$4:$A$43,$A5,入力!$K$4:$K$43))</f>
        <v/>
      </c>
      <c r="K5" s="11">
        <f>IF($A5="","",SUMIF(入力!$A$4:$A$43,$A5,入力!$L$4:$L$43))</f>
        <v/>
      </c>
    </row>
    <row r="6">
      <c r="A6" s="9" t="inlineStr">
        <is>
          <t>サンプルラボB（中野区の現ラボ想定）</t>
        </is>
      </c>
      <c r="B6" s="10">
        <f>IF($A6="","",SUMIFS(入力!$J$4:$J$43,入力!$A$4:$A$43,$A6,入力!$B$4:$B$43,B$4))</f>
        <v/>
      </c>
      <c r="C6" s="10">
        <f>IF($A6="","",SUMIFS(入力!$J$4:$J$43,入力!$A$4:$A$43,$A6,入力!$B$4:$B$43,C$4))</f>
        <v/>
      </c>
      <c r="D6" s="10">
        <f>IF($A6="","",SUMIFS(入力!$J$4:$J$43,入力!$A$4:$A$43,$A6,入力!$B$4:$B$43,D$4))</f>
        <v/>
      </c>
      <c r="E6" s="10">
        <f>IF($A6="","",SUMIFS(入力!$J$4:$J$43,入力!$A$4:$A$43,$A6,入力!$B$4:$B$43,E$4))</f>
        <v/>
      </c>
      <c r="F6" s="10">
        <f>IF($A6="","",SUMIFS(入力!$J$4:$J$43,入力!$A$4:$A$43,$A6,入力!$B$4:$B$43,F$4))</f>
        <v/>
      </c>
      <c r="G6" s="10">
        <f>IF($A6="","",SUMIFS(入力!$J$4:$J$43,入力!$A$4:$A$43,$A6,入力!$B$4:$B$43,G$4))</f>
        <v/>
      </c>
      <c r="H6" s="10">
        <f>IF($A6="","",SUMIFS(入力!$J$4:$J$43,入力!$A$4:$A$43,$A6,入力!$B$4:$B$43,H$4))</f>
        <v/>
      </c>
      <c r="I6" s="11">
        <f>IF($A6="","",SUMIF(入力!$A$4:$A$43,$A6,入力!$J$4:$J$43))</f>
        <v/>
      </c>
      <c r="J6" s="11">
        <f>IF($A6="","",SUMIF(入力!$A$4:$A$43,$A6,入力!$K$4:$K$43))</f>
        <v/>
      </c>
      <c r="K6" s="11">
        <f>IF($A6="","",SUMIF(入力!$A$4:$A$43,$A6,入力!$L$4:$L$43))</f>
        <v/>
      </c>
    </row>
    <row r="7">
      <c r="A7" s="12" t="n"/>
      <c r="B7" s="10">
        <f>IF($A7="","",SUMIFS(入力!$J$4:$J$43,入力!$A$4:$A$43,$A7,入力!$B$4:$B$43,B$4))</f>
        <v/>
      </c>
      <c r="C7" s="10">
        <f>IF($A7="","",SUMIFS(入力!$J$4:$J$43,入力!$A$4:$A$43,$A7,入力!$B$4:$B$43,C$4))</f>
        <v/>
      </c>
      <c r="D7" s="10">
        <f>IF($A7="","",SUMIFS(入力!$J$4:$J$43,入力!$A$4:$A$43,$A7,入力!$B$4:$B$43,D$4))</f>
        <v/>
      </c>
      <c r="E7" s="10">
        <f>IF($A7="","",SUMIFS(入力!$J$4:$J$43,入力!$A$4:$A$43,$A7,入力!$B$4:$B$43,E$4))</f>
        <v/>
      </c>
      <c r="F7" s="10">
        <f>IF($A7="","",SUMIFS(入力!$J$4:$J$43,入力!$A$4:$A$43,$A7,入力!$B$4:$B$43,F$4))</f>
        <v/>
      </c>
      <c r="G7" s="10">
        <f>IF($A7="","",SUMIFS(入力!$J$4:$J$43,入力!$A$4:$A$43,$A7,入力!$B$4:$B$43,G$4))</f>
        <v/>
      </c>
      <c r="H7" s="10">
        <f>IF($A7="","",SUMIFS(入力!$J$4:$J$43,入力!$A$4:$A$43,$A7,入力!$B$4:$B$43,H$4))</f>
        <v/>
      </c>
      <c r="I7" s="11">
        <f>IF($A7="","",SUMIF(入力!$A$4:$A$43,$A7,入力!$J$4:$J$43))</f>
        <v/>
      </c>
      <c r="J7" s="11">
        <f>IF($A7="","",SUMIF(入力!$A$4:$A$43,$A7,入力!$K$4:$K$43))</f>
        <v/>
      </c>
      <c r="K7" s="11">
        <f>IF($A7="","",SUMIF(入力!$A$4:$A$43,$A7,入力!$L$4:$L$43))</f>
        <v/>
      </c>
    </row>
    <row r="8">
      <c r="A8" s="12" t="n"/>
      <c r="B8" s="10">
        <f>IF($A8="","",SUMIFS(入力!$J$4:$J$43,入力!$A$4:$A$43,$A8,入力!$B$4:$B$43,B$4))</f>
        <v/>
      </c>
      <c r="C8" s="10">
        <f>IF($A8="","",SUMIFS(入力!$J$4:$J$43,入力!$A$4:$A$43,$A8,入力!$B$4:$B$43,C$4))</f>
        <v/>
      </c>
      <c r="D8" s="10">
        <f>IF($A8="","",SUMIFS(入力!$J$4:$J$43,入力!$A$4:$A$43,$A8,入力!$B$4:$B$43,D$4))</f>
        <v/>
      </c>
      <c r="E8" s="10">
        <f>IF($A8="","",SUMIFS(入力!$J$4:$J$43,入力!$A$4:$A$43,$A8,入力!$B$4:$B$43,E$4))</f>
        <v/>
      </c>
      <c r="F8" s="10">
        <f>IF($A8="","",SUMIFS(入力!$J$4:$J$43,入力!$A$4:$A$43,$A8,入力!$B$4:$B$43,F$4))</f>
        <v/>
      </c>
      <c r="G8" s="10">
        <f>IF($A8="","",SUMIFS(入力!$J$4:$J$43,入力!$A$4:$A$43,$A8,入力!$B$4:$B$43,G$4))</f>
        <v/>
      </c>
      <c r="H8" s="10">
        <f>IF($A8="","",SUMIFS(入力!$J$4:$J$43,入力!$A$4:$A$43,$A8,入力!$B$4:$B$43,H$4))</f>
        <v/>
      </c>
      <c r="I8" s="11">
        <f>IF($A8="","",SUMIF(入力!$A$4:$A$43,$A8,入力!$J$4:$J$43))</f>
        <v/>
      </c>
      <c r="J8" s="11">
        <f>IF($A8="","",SUMIF(入力!$A$4:$A$43,$A8,入力!$K$4:$K$43))</f>
        <v/>
      </c>
      <c r="K8" s="11">
        <f>IF($A8="","",SUMIF(入力!$A$4:$A$43,$A8,入力!$L$4:$L$43))</f>
        <v/>
      </c>
    </row>
    <row r="9">
      <c r="A9" s="12" t="n"/>
      <c r="B9" s="10">
        <f>IF($A9="","",SUMIFS(入力!$J$4:$J$43,入力!$A$4:$A$43,$A9,入力!$B$4:$B$43,B$4))</f>
        <v/>
      </c>
      <c r="C9" s="10">
        <f>IF($A9="","",SUMIFS(入力!$J$4:$J$43,入力!$A$4:$A$43,$A9,入力!$B$4:$B$43,C$4))</f>
        <v/>
      </c>
      <c r="D9" s="10">
        <f>IF($A9="","",SUMIFS(入力!$J$4:$J$43,入力!$A$4:$A$43,$A9,入力!$B$4:$B$43,D$4))</f>
        <v/>
      </c>
      <c r="E9" s="10">
        <f>IF($A9="","",SUMIFS(入力!$J$4:$J$43,入力!$A$4:$A$43,$A9,入力!$B$4:$B$43,E$4))</f>
        <v/>
      </c>
      <c r="F9" s="10">
        <f>IF($A9="","",SUMIFS(入力!$J$4:$J$43,入力!$A$4:$A$43,$A9,入力!$B$4:$B$43,F$4))</f>
        <v/>
      </c>
      <c r="G9" s="10">
        <f>IF($A9="","",SUMIFS(入力!$J$4:$J$43,入力!$A$4:$A$43,$A9,入力!$B$4:$B$43,G$4))</f>
        <v/>
      </c>
      <c r="H9" s="10">
        <f>IF($A9="","",SUMIFS(入力!$J$4:$J$43,入力!$A$4:$A$43,$A9,入力!$B$4:$B$43,H$4))</f>
        <v/>
      </c>
      <c r="I9" s="11">
        <f>IF($A9="","",SUMIF(入力!$A$4:$A$43,$A9,入力!$J$4:$J$43))</f>
        <v/>
      </c>
      <c r="J9" s="11">
        <f>IF($A9="","",SUMIF(入力!$A$4:$A$43,$A9,入力!$K$4:$K$43))</f>
        <v/>
      </c>
      <c r="K9" s="11">
        <f>IF($A9="","",SUMIF(入力!$A$4:$A$43,$A9,入力!$L$4:$L$43))</f>
        <v/>
      </c>
    </row>
    <row r="10">
      <c r="A10" s="12" t="n"/>
      <c r="B10" s="10">
        <f>IF($A10="","",SUMIFS(入力!$J$4:$J$43,入力!$A$4:$A$43,$A10,入力!$B$4:$B$43,B$4))</f>
        <v/>
      </c>
      <c r="C10" s="10">
        <f>IF($A10="","",SUMIFS(入力!$J$4:$J$43,入力!$A$4:$A$43,$A10,入力!$B$4:$B$43,C$4))</f>
        <v/>
      </c>
      <c r="D10" s="10">
        <f>IF($A10="","",SUMIFS(入力!$J$4:$J$43,入力!$A$4:$A$43,$A10,入力!$B$4:$B$43,D$4))</f>
        <v/>
      </c>
      <c r="E10" s="10">
        <f>IF($A10="","",SUMIFS(入力!$J$4:$J$43,入力!$A$4:$A$43,$A10,入力!$B$4:$B$43,E$4))</f>
        <v/>
      </c>
      <c r="F10" s="10">
        <f>IF($A10="","",SUMIFS(入力!$J$4:$J$43,入力!$A$4:$A$43,$A10,入力!$B$4:$B$43,F$4))</f>
        <v/>
      </c>
      <c r="G10" s="10">
        <f>IF($A10="","",SUMIFS(入力!$J$4:$J$43,入力!$A$4:$A$43,$A10,入力!$B$4:$B$43,G$4))</f>
        <v/>
      </c>
      <c r="H10" s="10">
        <f>IF($A10="","",SUMIFS(入力!$J$4:$J$43,入力!$A$4:$A$43,$A10,入力!$B$4:$B$43,H$4))</f>
        <v/>
      </c>
      <c r="I10" s="11">
        <f>IF($A10="","",SUMIF(入力!$A$4:$A$43,$A10,入力!$J$4:$J$43))</f>
        <v/>
      </c>
      <c r="J10" s="11">
        <f>IF($A10="","",SUMIF(入力!$A$4:$A$43,$A10,入力!$K$4:$K$43))</f>
        <v/>
      </c>
      <c r="K10" s="11">
        <f>IF($A10="","",SUMIF(入力!$A$4:$A$43,$A10,入力!$L$4:$L$43))</f>
        <v/>
      </c>
    </row>
    <row r="11">
      <c r="A11" s="12" t="n"/>
      <c r="B11" s="10">
        <f>IF($A11="","",SUMIFS(入力!$J$4:$J$43,入力!$A$4:$A$43,$A11,入力!$B$4:$B$43,B$4))</f>
        <v/>
      </c>
      <c r="C11" s="10">
        <f>IF($A11="","",SUMIFS(入力!$J$4:$J$43,入力!$A$4:$A$43,$A11,入力!$B$4:$B$43,C$4))</f>
        <v/>
      </c>
      <c r="D11" s="10">
        <f>IF($A11="","",SUMIFS(入力!$J$4:$J$43,入力!$A$4:$A$43,$A11,入力!$B$4:$B$43,D$4))</f>
        <v/>
      </c>
      <c r="E11" s="10">
        <f>IF($A11="","",SUMIFS(入力!$J$4:$J$43,入力!$A$4:$A$43,$A11,入力!$B$4:$B$43,E$4))</f>
        <v/>
      </c>
      <c r="F11" s="10">
        <f>IF($A11="","",SUMIFS(入力!$J$4:$J$43,入力!$A$4:$A$43,$A11,入力!$B$4:$B$43,F$4))</f>
        <v/>
      </c>
      <c r="G11" s="10">
        <f>IF($A11="","",SUMIFS(入力!$J$4:$J$43,入力!$A$4:$A$43,$A11,入力!$B$4:$B$43,G$4))</f>
        <v/>
      </c>
      <c r="H11" s="10">
        <f>IF($A11="","",SUMIFS(入力!$J$4:$J$43,入力!$A$4:$A$43,$A11,入力!$B$4:$B$43,H$4))</f>
        <v/>
      </c>
      <c r="I11" s="11">
        <f>IF($A11="","",SUMIF(入力!$A$4:$A$43,$A11,入力!$J$4:$J$43))</f>
        <v/>
      </c>
      <c r="J11" s="11">
        <f>IF($A11="","",SUMIF(入力!$A$4:$A$43,$A11,入力!$K$4:$K$43))</f>
        <v/>
      </c>
      <c r="K11" s="11">
        <f>IF($A11="","",SUMIF(入力!$A$4:$A$43,$A11,入力!$L$4:$L$43))</f>
        <v/>
      </c>
    </row>
    <row r="12">
      <c r="A12" s="12" t="n"/>
      <c r="B12" s="10">
        <f>IF($A12="","",SUMIFS(入力!$J$4:$J$43,入力!$A$4:$A$43,$A12,入力!$B$4:$B$43,B$4))</f>
        <v/>
      </c>
      <c r="C12" s="10">
        <f>IF($A12="","",SUMIFS(入力!$J$4:$J$43,入力!$A$4:$A$43,$A12,入力!$B$4:$B$43,C$4))</f>
        <v/>
      </c>
      <c r="D12" s="10">
        <f>IF($A12="","",SUMIFS(入力!$J$4:$J$43,入力!$A$4:$A$43,$A12,入力!$B$4:$B$43,D$4))</f>
        <v/>
      </c>
      <c r="E12" s="10">
        <f>IF($A12="","",SUMIFS(入力!$J$4:$J$43,入力!$A$4:$A$43,$A12,入力!$B$4:$B$43,E$4))</f>
        <v/>
      </c>
      <c r="F12" s="10">
        <f>IF($A12="","",SUMIFS(入力!$J$4:$J$43,入力!$A$4:$A$43,$A12,入力!$B$4:$B$43,F$4))</f>
        <v/>
      </c>
      <c r="G12" s="10">
        <f>IF($A12="","",SUMIFS(入力!$J$4:$J$43,入力!$A$4:$A$43,$A12,入力!$B$4:$B$43,G$4))</f>
        <v/>
      </c>
      <c r="H12" s="10">
        <f>IF($A12="","",SUMIFS(入力!$J$4:$J$43,入力!$A$4:$A$43,$A12,入力!$B$4:$B$43,H$4))</f>
        <v/>
      </c>
      <c r="I12" s="11">
        <f>IF($A12="","",SUMIF(入力!$A$4:$A$43,$A12,入力!$J$4:$J$43))</f>
        <v/>
      </c>
      <c r="J12" s="11">
        <f>IF($A12="","",SUMIF(入力!$A$4:$A$43,$A12,入力!$K$4:$K$43))</f>
        <v/>
      </c>
      <c r="K12" s="11">
        <f>IF($A12="","",SUMIF(入力!$A$4:$A$43,$A12,入力!$L$4:$L$43))</f>
        <v/>
      </c>
    </row>
    <row r="13">
      <c r="A13" s="12" t="n"/>
      <c r="B13" s="10">
        <f>IF($A13="","",SUMIFS(入力!$J$4:$J$43,入力!$A$4:$A$43,$A13,入力!$B$4:$B$43,B$4))</f>
        <v/>
      </c>
      <c r="C13" s="10">
        <f>IF($A13="","",SUMIFS(入力!$J$4:$J$43,入力!$A$4:$A$43,$A13,入力!$B$4:$B$43,C$4))</f>
        <v/>
      </c>
      <c r="D13" s="10">
        <f>IF($A13="","",SUMIFS(入力!$J$4:$J$43,入力!$A$4:$A$43,$A13,入力!$B$4:$B$43,D$4))</f>
        <v/>
      </c>
      <c r="E13" s="10">
        <f>IF($A13="","",SUMIFS(入力!$J$4:$J$43,入力!$A$4:$A$43,$A13,入力!$B$4:$B$43,E$4))</f>
        <v/>
      </c>
      <c r="F13" s="10">
        <f>IF($A13="","",SUMIFS(入力!$J$4:$J$43,入力!$A$4:$A$43,$A13,入力!$B$4:$B$43,F$4))</f>
        <v/>
      </c>
      <c r="G13" s="10">
        <f>IF($A13="","",SUMIFS(入力!$J$4:$J$43,入力!$A$4:$A$43,$A13,入力!$B$4:$B$43,G$4))</f>
        <v/>
      </c>
      <c r="H13" s="10">
        <f>IF($A13="","",SUMIFS(入力!$J$4:$J$43,入力!$A$4:$A$43,$A13,入力!$B$4:$B$43,H$4))</f>
        <v/>
      </c>
      <c r="I13" s="11">
        <f>IF($A13="","",SUMIF(入力!$A$4:$A$43,$A13,入力!$J$4:$J$43))</f>
        <v/>
      </c>
      <c r="J13" s="11">
        <f>IF($A13="","",SUMIF(入力!$A$4:$A$43,$A13,入力!$K$4:$K$43))</f>
        <v/>
      </c>
      <c r="K13" s="11">
        <f>IF($A13="","",SUMIF(入力!$A$4:$A$43,$A13,入力!$L$4:$L$43))</f>
        <v/>
      </c>
    </row>
    <row r="14">
      <c r="A14" s="12" t="n"/>
      <c r="B14" s="10">
        <f>IF($A14="","",SUMIFS(入力!$J$4:$J$43,入力!$A$4:$A$43,$A14,入力!$B$4:$B$43,B$4))</f>
        <v/>
      </c>
      <c r="C14" s="10">
        <f>IF($A14="","",SUMIFS(入力!$J$4:$J$43,入力!$A$4:$A$43,$A14,入力!$B$4:$B$43,C$4))</f>
        <v/>
      </c>
      <c r="D14" s="10">
        <f>IF($A14="","",SUMIFS(入力!$J$4:$J$43,入力!$A$4:$A$43,$A14,入力!$B$4:$B$43,D$4))</f>
        <v/>
      </c>
      <c r="E14" s="10">
        <f>IF($A14="","",SUMIFS(入力!$J$4:$J$43,入力!$A$4:$A$43,$A14,入力!$B$4:$B$43,E$4))</f>
        <v/>
      </c>
      <c r="F14" s="10">
        <f>IF($A14="","",SUMIFS(入力!$J$4:$J$43,入力!$A$4:$A$43,$A14,入力!$B$4:$B$43,F$4))</f>
        <v/>
      </c>
      <c r="G14" s="10">
        <f>IF($A14="","",SUMIFS(入力!$J$4:$J$43,入力!$A$4:$A$43,$A14,入力!$B$4:$B$43,G$4))</f>
        <v/>
      </c>
      <c r="H14" s="10">
        <f>IF($A14="","",SUMIFS(入力!$J$4:$J$43,入力!$A$4:$A$43,$A14,入力!$B$4:$B$43,H$4))</f>
        <v/>
      </c>
      <c r="I14" s="11">
        <f>IF($A14="","",SUMIF(入力!$A$4:$A$43,$A14,入力!$J$4:$J$43))</f>
        <v/>
      </c>
      <c r="J14" s="11">
        <f>IF($A14="","",SUMIF(入力!$A$4:$A$43,$A14,入力!$K$4:$K$43))</f>
        <v/>
      </c>
      <c r="K14" s="11">
        <f>IF($A14="","",SUMIF(入力!$A$4:$A$43,$A14,入力!$L$4:$L$43))</f>
        <v/>
      </c>
    </row>
    <row r="15">
      <c r="A15" s="12" t="n"/>
      <c r="B15" s="10">
        <f>IF($A15="","",SUMIFS(入力!$J$4:$J$43,入力!$A$4:$A$43,$A15,入力!$B$4:$B$43,B$4))</f>
        <v/>
      </c>
      <c r="C15" s="10">
        <f>IF($A15="","",SUMIFS(入力!$J$4:$J$43,入力!$A$4:$A$43,$A15,入力!$B$4:$B$43,C$4))</f>
        <v/>
      </c>
      <c r="D15" s="10">
        <f>IF($A15="","",SUMIFS(入力!$J$4:$J$43,入力!$A$4:$A$43,$A15,入力!$B$4:$B$43,D$4))</f>
        <v/>
      </c>
      <c r="E15" s="10">
        <f>IF($A15="","",SUMIFS(入力!$J$4:$J$43,入力!$A$4:$A$43,$A15,入力!$B$4:$B$43,E$4))</f>
        <v/>
      </c>
      <c r="F15" s="10">
        <f>IF($A15="","",SUMIFS(入力!$J$4:$J$43,入力!$A$4:$A$43,$A15,入力!$B$4:$B$43,F$4))</f>
        <v/>
      </c>
      <c r="G15" s="10">
        <f>IF($A15="","",SUMIFS(入力!$J$4:$J$43,入力!$A$4:$A$43,$A15,入力!$B$4:$B$43,G$4))</f>
        <v/>
      </c>
      <c r="H15" s="10">
        <f>IF($A15="","",SUMIFS(入力!$J$4:$J$43,入力!$A$4:$A$43,$A15,入力!$B$4:$B$43,H$4))</f>
        <v/>
      </c>
      <c r="I15" s="11">
        <f>IF($A15="","",SUMIF(入力!$A$4:$A$43,$A15,入力!$J$4:$J$43))</f>
        <v/>
      </c>
      <c r="J15" s="11">
        <f>IF($A15="","",SUMIF(入力!$A$4:$A$43,$A15,入力!$K$4:$K$43))</f>
        <v/>
      </c>
      <c r="K15" s="11">
        <f>IF($A15="","",SUMIF(入力!$A$4:$A$43,$A15,入力!$L$4:$L$43))</f>
        <v/>
      </c>
    </row>
    <row r="16">
      <c r="A16" s="12" t="n"/>
      <c r="B16" s="10">
        <f>IF($A16="","",SUMIFS(入力!$J$4:$J$43,入力!$A$4:$A$43,$A16,入力!$B$4:$B$43,B$4))</f>
        <v/>
      </c>
      <c r="C16" s="10">
        <f>IF($A16="","",SUMIFS(入力!$J$4:$J$43,入力!$A$4:$A$43,$A16,入力!$B$4:$B$43,C$4))</f>
        <v/>
      </c>
      <c r="D16" s="10">
        <f>IF($A16="","",SUMIFS(入力!$J$4:$J$43,入力!$A$4:$A$43,$A16,入力!$B$4:$B$43,D$4))</f>
        <v/>
      </c>
      <c r="E16" s="10">
        <f>IF($A16="","",SUMIFS(入力!$J$4:$J$43,入力!$A$4:$A$43,$A16,入力!$B$4:$B$43,E$4))</f>
        <v/>
      </c>
      <c r="F16" s="10">
        <f>IF($A16="","",SUMIFS(入力!$J$4:$J$43,入力!$A$4:$A$43,$A16,入力!$B$4:$B$43,F$4))</f>
        <v/>
      </c>
      <c r="G16" s="10">
        <f>IF($A16="","",SUMIFS(入力!$J$4:$J$43,入力!$A$4:$A$43,$A16,入力!$B$4:$B$43,G$4))</f>
        <v/>
      </c>
      <c r="H16" s="10">
        <f>IF($A16="","",SUMIFS(入力!$J$4:$J$43,入力!$A$4:$A$43,$A16,入力!$B$4:$B$43,H$4))</f>
        <v/>
      </c>
      <c r="I16" s="11">
        <f>IF($A16="","",SUMIF(入力!$A$4:$A$43,$A16,入力!$J$4:$J$43))</f>
        <v/>
      </c>
      <c r="J16" s="11">
        <f>IF($A16="","",SUMIF(入力!$A$4:$A$43,$A16,入力!$K$4:$K$43))</f>
        <v/>
      </c>
      <c r="K16" s="11">
        <f>IF($A16="","",SUMIF(入力!$A$4:$A$43,$A16,入力!$L$4:$L$43))</f>
        <v/>
      </c>
    </row>
    <row r="17">
      <c r="A17" s="12" t="n"/>
      <c r="B17" s="10">
        <f>IF($A17="","",SUMIFS(入力!$J$4:$J$43,入力!$A$4:$A$43,$A17,入力!$B$4:$B$43,B$4))</f>
        <v/>
      </c>
      <c r="C17" s="10">
        <f>IF($A17="","",SUMIFS(入力!$J$4:$J$43,入力!$A$4:$A$43,$A17,入力!$B$4:$B$43,C$4))</f>
        <v/>
      </c>
      <c r="D17" s="10">
        <f>IF($A17="","",SUMIFS(入力!$J$4:$J$43,入力!$A$4:$A$43,$A17,入力!$B$4:$B$43,D$4))</f>
        <v/>
      </c>
      <c r="E17" s="10">
        <f>IF($A17="","",SUMIFS(入力!$J$4:$J$43,入力!$A$4:$A$43,$A17,入力!$B$4:$B$43,E$4))</f>
        <v/>
      </c>
      <c r="F17" s="10">
        <f>IF($A17="","",SUMIFS(入力!$J$4:$J$43,入力!$A$4:$A$43,$A17,入力!$B$4:$B$43,F$4))</f>
        <v/>
      </c>
      <c r="G17" s="10">
        <f>IF($A17="","",SUMIFS(入力!$J$4:$J$43,入力!$A$4:$A$43,$A17,入力!$B$4:$B$43,G$4))</f>
        <v/>
      </c>
      <c r="H17" s="10">
        <f>IF($A17="","",SUMIFS(入力!$J$4:$J$43,入力!$A$4:$A$43,$A17,入力!$B$4:$B$43,H$4))</f>
        <v/>
      </c>
      <c r="I17" s="11">
        <f>IF($A17="","",SUMIF(入力!$A$4:$A$43,$A17,入力!$J$4:$J$43))</f>
        <v/>
      </c>
      <c r="J17" s="11">
        <f>IF($A17="","",SUMIF(入力!$A$4:$A$43,$A17,入力!$K$4:$K$43))</f>
        <v/>
      </c>
      <c r="K17" s="11">
        <f>IF($A17="","",SUMIF(入力!$A$4:$A$43,$A17,入力!$L$4:$L$43))</f>
        <v/>
      </c>
    </row>
    <row r="18">
      <c r="A18" s="12" t="n"/>
      <c r="B18" s="10">
        <f>IF($A18="","",SUMIFS(入力!$J$4:$J$43,入力!$A$4:$A$43,$A18,入力!$B$4:$B$43,B$4))</f>
        <v/>
      </c>
      <c r="C18" s="10">
        <f>IF($A18="","",SUMIFS(入力!$J$4:$J$43,入力!$A$4:$A$43,$A18,入力!$B$4:$B$43,C$4))</f>
        <v/>
      </c>
      <c r="D18" s="10">
        <f>IF($A18="","",SUMIFS(入力!$J$4:$J$43,入力!$A$4:$A$43,$A18,入力!$B$4:$B$43,D$4))</f>
        <v/>
      </c>
      <c r="E18" s="10">
        <f>IF($A18="","",SUMIFS(入力!$J$4:$J$43,入力!$A$4:$A$43,$A18,入力!$B$4:$B$43,E$4))</f>
        <v/>
      </c>
      <c r="F18" s="10">
        <f>IF($A18="","",SUMIFS(入力!$J$4:$J$43,入力!$A$4:$A$43,$A18,入力!$B$4:$B$43,F$4))</f>
        <v/>
      </c>
      <c r="G18" s="10">
        <f>IF($A18="","",SUMIFS(入力!$J$4:$J$43,入力!$A$4:$A$43,$A18,入力!$B$4:$B$43,G$4))</f>
        <v/>
      </c>
      <c r="H18" s="10">
        <f>IF($A18="","",SUMIFS(入力!$J$4:$J$43,入力!$A$4:$A$43,$A18,入力!$B$4:$B$43,H$4))</f>
        <v/>
      </c>
      <c r="I18" s="11">
        <f>IF($A18="","",SUMIF(入力!$A$4:$A$43,$A18,入力!$J$4:$J$43))</f>
        <v/>
      </c>
      <c r="J18" s="11">
        <f>IF($A18="","",SUMIF(入力!$A$4:$A$43,$A18,入力!$K$4:$K$43))</f>
        <v/>
      </c>
      <c r="K18" s="11">
        <f>IF($A18="","",SUMIF(入力!$A$4:$A$43,$A18,入力!$L$4:$L$43))</f>
        <v/>
      </c>
    </row>
    <row r="19">
      <c r="A19" s="12" t="n"/>
      <c r="B19" s="10">
        <f>IF($A19="","",SUMIFS(入力!$J$4:$J$43,入力!$A$4:$A$43,$A19,入力!$B$4:$B$43,B$4))</f>
        <v/>
      </c>
      <c r="C19" s="10">
        <f>IF($A19="","",SUMIFS(入力!$J$4:$J$43,入力!$A$4:$A$43,$A19,入力!$B$4:$B$43,C$4))</f>
        <v/>
      </c>
      <c r="D19" s="10">
        <f>IF($A19="","",SUMIFS(入力!$J$4:$J$43,入力!$A$4:$A$43,$A19,入力!$B$4:$B$43,D$4))</f>
        <v/>
      </c>
      <c r="E19" s="10">
        <f>IF($A19="","",SUMIFS(入力!$J$4:$J$43,入力!$A$4:$A$43,$A19,入力!$B$4:$B$43,E$4))</f>
        <v/>
      </c>
      <c r="F19" s="10">
        <f>IF($A19="","",SUMIFS(入力!$J$4:$J$43,入力!$A$4:$A$43,$A19,入力!$B$4:$B$43,F$4))</f>
        <v/>
      </c>
      <c r="G19" s="10">
        <f>IF($A19="","",SUMIFS(入力!$J$4:$J$43,入力!$A$4:$A$43,$A19,入力!$B$4:$B$43,G$4))</f>
        <v/>
      </c>
      <c r="H19" s="10">
        <f>IF($A19="","",SUMIFS(入力!$J$4:$J$43,入力!$A$4:$A$43,$A19,入力!$B$4:$B$43,H$4))</f>
        <v/>
      </c>
      <c r="I19" s="11">
        <f>IF($A19="","",SUMIF(入力!$A$4:$A$43,$A19,入力!$J$4:$J$43))</f>
        <v/>
      </c>
      <c r="J19" s="11">
        <f>IF($A19="","",SUMIF(入力!$A$4:$A$43,$A19,入力!$K$4:$K$43))</f>
        <v/>
      </c>
      <c r="K19" s="11">
        <f>IF($A19="","",SUMIF(入力!$A$4:$A$43,$A19,入力!$L$4:$L$43))</f>
        <v/>
      </c>
    </row>
    <row r="21">
      <c r="A21" s="7" t="inlineStr">
        <is>
          <t>※「その他」で登録した独自種別は比較表の集計対象外です（入力シートの月間量・容量・料金列を直接ご確認ください）。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2026-08-06T06:03:44Z</dcterms:created>
  <dcterms:modified xsi:type="dcterms:W3CDTF">2026-08-06T06:03:44Z</dcterms:modified>
</cp:coreProperties>
</file>
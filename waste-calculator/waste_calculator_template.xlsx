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かんたん入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F3D24"/>
      <sz val="14"/>
    </font>
    <font>
      <name val="Arial"/>
      <color rgb="006B6F65"/>
      <sz val="10"/>
    </font>
    <font>
      <name val="Arial"/>
      <b val="1"/>
      <color rgb="001F3D24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6F65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D24"/>
      </patternFill>
    </fill>
  </fills>
  <borders count="2">
    <border>
      <left/>
      <right/>
      <top/>
      <bottom/>
      <diagonal/>
    </border>
    <border>
      <left style="thin">
        <color rgb="00D9DCD3"/>
      </left>
      <right style="thin">
        <color rgb="00D9DCD3"/>
      </right>
      <top style="thin">
        <color rgb="00D9DCD3"/>
      </top>
      <bottom style="thin">
        <color rgb="00D9DC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廃棄物コネクト 案件量計算ツール</t>
        </is>
      </c>
    </row>
    <row r="3">
      <c r="B3" s="2" t="inlineStr">
        <is>
          <t>ヒアリング内容から月間の袋数を自動計算するテンプレートです。</t>
        </is>
      </c>
    </row>
    <row r="5">
      <c r="B5" s="3" t="inlineStr">
        <is>
          <t>① 入力のしかた</t>
        </is>
      </c>
    </row>
    <row r="6">
      <c r="B6" s="4" t="inlineStr">
        <is>
          <t>青字のセルのみ入力してください（黒字は自動計算の数式です）。</t>
        </is>
      </c>
    </row>
    <row r="7">
      <c r="B7" s="4" t="inlineStr">
        <is>
          <t>・案件名：案件ごとに分かる名前を入力（複数案件を1シートに並べてOK）</t>
        </is>
      </c>
    </row>
    <row r="8">
      <c r="B8" s="4" t="inlineStr">
        <is>
          <t>・種別：可燃ごみ／生ごみ／不燃ごみ／瓶／缶／ペットボトル／段ボール／その他 からドロップダウンで選択</t>
        </is>
      </c>
    </row>
    <row r="9">
      <c r="B9" s="4" t="inlineStr">
        <is>
          <t>・頻度(週◯回)：収集の頻度。例:「1日1〜2袋、週5回」→数量1〜2・頻度5、「週に1〜2袋」→数量1〜2・頻度1</t>
        </is>
      </c>
    </row>
    <row r="10">
      <c r="B10" s="4" t="inlineStr">
        <is>
          <t>・数量min／数量max：「1〜2袋」のように幅がある場合は両方入力。「2袋」のように1つだけの場合は数量maxを空欄にすればOK（数量minの値だけで計算されます）。</t>
        </is>
      </c>
    </row>
    <row r="11">
      <c r="B11" s="4" t="inlineStr"/>
    </row>
    <row r="12">
      <c r="B12" s="3" t="inlineStr">
        <is>
          <t>② 前提</t>
        </is>
      </c>
    </row>
    <row r="13">
      <c r="B13" s="4" t="inlineStr">
        <is>
          <t>1ヶ月あたりの週数はC1セルで設定（既定値 4.35週 ＝ 365日 ÷ 12ヶ月 ÷ 7日）。</t>
        </is>
      </c>
    </row>
    <row r="14">
      <c r="B14" s="4" t="inlineStr">
        <is>
          <t>数量が明記されていない項目（例:「不燃物 週2日」のみで数量記載なし）は 1回1袋 と仮定しています。実数が分かり次第、数量欄を修正してください。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>
      <c r="A1" s="5" t="inlineStr">
        <is>
          <t>1ヶ月あたりの週数</t>
        </is>
      </c>
      <c r="C1" s="6" t="n">
        <v>4.35</v>
      </c>
      <c r="D1" s="7" t="inlineStr">
        <is>
          <t>※365日÷12ヶ月÷7日で算出した平均週数。必要に応じて変更してください。</t>
        </is>
      </c>
    </row>
    <row r="3" ht="30" customHeight="1">
      <c r="A3" s="8" t="inlineStr">
        <is>
          <t>案件名</t>
        </is>
      </c>
      <c r="B3" s="8" t="inlineStr">
        <is>
          <t>種別</t>
        </is>
      </c>
      <c r="C3" s="8" t="inlineStr">
        <is>
          <t>数量min(1回あたり)</t>
        </is>
      </c>
      <c r="D3" s="8" t="inlineStr">
        <is>
          <t>数量max(1回あたり)</t>
        </is>
      </c>
      <c r="E3" s="8" t="inlineStr">
        <is>
          <t>頻度(週◯回)</t>
        </is>
      </c>
      <c r="F3" s="8" t="inlineStr">
        <is>
          <t>月間量(平均)</t>
        </is>
      </c>
    </row>
    <row r="4">
      <c r="A4" s="9" t="inlineStr">
        <is>
          <t>新宿区の新規案件（laidback cafeの例）</t>
        </is>
      </c>
      <c r="B4" s="9" t="inlineStr">
        <is>
          <t>可燃ごみ</t>
        </is>
      </c>
      <c r="C4" s="9" t="n">
        <v>1</v>
      </c>
      <c r="D4" s="9" t="n">
        <v>2</v>
      </c>
      <c r="E4" s="9" t="n">
        <v>7</v>
      </c>
      <c r="F4" s="10">
        <f>IF(C4="","",IF(D4="",C4,(C4+D4)/2)*E4*$C$1)</f>
        <v/>
      </c>
    </row>
    <row r="5">
      <c r="A5" s="9" t="inlineStr">
        <is>
          <t>新宿区の新規案件（laidback cafeの例）</t>
        </is>
      </c>
      <c r="B5" s="9" t="inlineStr">
        <is>
          <t>生ごみ</t>
        </is>
      </c>
      <c r="C5" s="9" t="n">
        <v>1</v>
      </c>
      <c r="D5" s="9" t="n">
        <v>2</v>
      </c>
      <c r="E5" s="9" t="n">
        <v>7</v>
      </c>
      <c r="F5" s="10">
        <f>IF(C5="","",IF(D5="",C5,(C5+D5)/2)*E5*$C$1)</f>
        <v/>
      </c>
    </row>
    <row r="6">
      <c r="A6" s="9" t="inlineStr">
        <is>
          <t>新宿区の新規案件（laidback cafeの例）</t>
        </is>
      </c>
      <c r="B6" s="9" t="inlineStr">
        <is>
          <t>瓶</t>
        </is>
      </c>
      <c r="C6" s="9" t="n">
        <v>1</v>
      </c>
      <c r="D6" s="9" t="n">
        <v>2</v>
      </c>
      <c r="E6" s="9" t="n">
        <v>1</v>
      </c>
      <c r="F6" s="10">
        <f>IF(C6="","",IF(D6="",C6,(C6+D6)/2)*E6*$C$1)</f>
        <v/>
      </c>
    </row>
    <row r="7">
      <c r="A7" s="9" t="inlineStr">
        <is>
          <t>新宿区の新規案件（laidback cafeの例）</t>
        </is>
      </c>
      <c r="B7" s="9" t="inlineStr">
        <is>
          <t>缶</t>
        </is>
      </c>
      <c r="C7" s="9" t="n">
        <v>1</v>
      </c>
      <c r="D7" s="9" t="n">
        <v>2</v>
      </c>
      <c r="E7" s="9" t="n">
        <v>1</v>
      </c>
      <c r="F7" s="10">
        <f>IF(C7="","",IF(D7="",C7,(C7+D7)/2)*E7*$C$1)</f>
        <v/>
      </c>
    </row>
    <row r="8">
      <c r="A8" s="9" t="inlineStr">
        <is>
          <t>新宿区の新規案件（laidback cafeの例）</t>
        </is>
      </c>
      <c r="B8" s="9" t="inlineStr">
        <is>
          <t>ペットボトル</t>
        </is>
      </c>
      <c r="C8" s="9" t="n">
        <v>1</v>
      </c>
      <c r="D8" s="9" t="n">
        <v>2</v>
      </c>
      <c r="E8" s="9" t="n">
        <v>1</v>
      </c>
      <c r="F8" s="10">
        <f>IF(C8="","",IF(D8="",C8,(C8+D8)/2)*E8*$C$1)</f>
        <v/>
      </c>
    </row>
    <row r="9">
      <c r="A9" s="9" t="inlineStr">
        <is>
          <t>新宿区の新規案件（laidback cafeの例）</t>
        </is>
      </c>
      <c r="B9" s="9" t="inlineStr">
        <is>
          <t>段ボール</t>
        </is>
      </c>
      <c r="C9" s="9" t="n">
        <v>5</v>
      </c>
      <c r="D9" s="9" t="n">
        <v>10</v>
      </c>
      <c r="E9" s="9" t="n">
        <v>1</v>
      </c>
      <c r="F9" s="10">
        <f>IF(C9="","",IF(D9="",C9,(C9+D9)/2)*E9*$C$1)</f>
        <v/>
      </c>
    </row>
    <row r="10">
      <c r="A10" s="9" t="inlineStr">
        <is>
          <t>中野区の現行案件の例</t>
        </is>
      </c>
      <c r="B10" s="9" t="inlineStr">
        <is>
          <t>可燃ごみ</t>
        </is>
      </c>
      <c r="C10" s="9" t="n">
        <v>1</v>
      </c>
      <c r="D10" s="9" t="n">
        <v>2</v>
      </c>
      <c r="E10" s="9" t="n">
        <v>5</v>
      </c>
      <c r="F10" s="10">
        <f>IF(C10="","",IF(D10="",C10,(C10+D10)/2)*E10*$C$1)</f>
        <v/>
      </c>
    </row>
    <row r="11">
      <c r="A11" s="9" t="inlineStr">
        <is>
          <t>中野区の現行案件の例</t>
        </is>
      </c>
      <c r="B11" s="9" t="inlineStr">
        <is>
          <t>不燃ごみ</t>
        </is>
      </c>
      <c r="C11" s="9" t="n">
        <v>1</v>
      </c>
      <c r="D11" s="9" t="n">
        <v>1</v>
      </c>
      <c r="E11" s="9" t="n">
        <v>2</v>
      </c>
      <c r="F11" s="10">
        <f>IF(C11="","",IF(D11="",C11,(C11+D11)/2)*E11*$C$1)</f>
        <v/>
      </c>
    </row>
    <row r="12">
      <c r="A12" s="11" t="n"/>
      <c r="B12" s="11" t="n"/>
      <c r="C12" s="11" t="n"/>
      <c r="D12" s="11" t="n"/>
      <c r="E12" s="11" t="n"/>
      <c r="F12" s="10">
        <f>IF(C12="","",IF(D12="",C12,(C12+D12)/2)*E12*$C$1)</f>
        <v/>
      </c>
    </row>
    <row r="13">
      <c r="A13" s="11" t="n"/>
      <c r="B13" s="11" t="n"/>
      <c r="C13" s="11" t="n"/>
      <c r="D13" s="11" t="n"/>
      <c r="E13" s="11" t="n"/>
      <c r="F13" s="10">
        <f>IF(C13="","",IF(D13="",C13,(C13+D13)/2)*E13*$C$1)</f>
        <v/>
      </c>
    </row>
    <row r="14">
      <c r="A14" s="11" t="n"/>
      <c r="B14" s="11" t="n"/>
      <c r="C14" s="11" t="n"/>
      <c r="D14" s="11" t="n"/>
      <c r="E14" s="11" t="n"/>
      <c r="F14" s="10">
        <f>IF(C14="","",IF(D14="",C14,(C14+D14)/2)*E14*$C$1)</f>
        <v/>
      </c>
    </row>
    <row r="15">
      <c r="A15" s="11" t="n"/>
      <c r="B15" s="11" t="n"/>
      <c r="C15" s="11" t="n"/>
      <c r="D15" s="11" t="n"/>
      <c r="E15" s="11" t="n"/>
      <c r="F15" s="10">
        <f>IF(C15="","",IF(D15="",C15,(C15+D15)/2)*E15*$C$1)</f>
        <v/>
      </c>
    </row>
    <row r="16">
      <c r="A16" s="11" t="n"/>
      <c r="B16" s="11" t="n"/>
      <c r="C16" s="11" t="n"/>
      <c r="D16" s="11" t="n"/>
      <c r="E16" s="11" t="n"/>
      <c r="F16" s="10">
        <f>IF(C16="","",IF(D16="",C16,(C16+D16)/2)*E16*$C$1)</f>
        <v/>
      </c>
    </row>
    <row r="17">
      <c r="A17" s="11" t="n"/>
      <c r="B17" s="11" t="n"/>
      <c r="C17" s="11" t="n"/>
      <c r="D17" s="11" t="n"/>
      <c r="E17" s="11" t="n"/>
      <c r="F17" s="10">
        <f>IF(C17="","",IF(D17="",C17,(C17+D17)/2)*E17*$C$1)</f>
        <v/>
      </c>
    </row>
    <row r="18">
      <c r="A18" s="11" t="n"/>
      <c r="B18" s="11" t="n"/>
      <c r="C18" s="11" t="n"/>
      <c r="D18" s="11" t="n"/>
      <c r="E18" s="11" t="n"/>
      <c r="F18" s="10">
        <f>IF(C18="","",IF(D18="",C18,(C18+D18)/2)*E18*$C$1)</f>
        <v/>
      </c>
    </row>
    <row r="19">
      <c r="A19" s="11" t="n"/>
      <c r="B19" s="11" t="n"/>
      <c r="C19" s="11" t="n"/>
      <c r="D19" s="11" t="n"/>
      <c r="E19" s="11" t="n"/>
      <c r="F19" s="10">
        <f>IF(C19="","",IF(D19="",C19,(C19+D19)/2)*E19*$C$1)</f>
        <v/>
      </c>
    </row>
    <row r="20">
      <c r="A20" s="11" t="n"/>
      <c r="B20" s="11" t="n"/>
      <c r="C20" s="11" t="n"/>
      <c r="D20" s="11" t="n"/>
      <c r="E20" s="11" t="n"/>
      <c r="F20" s="10">
        <f>IF(C20="","",IF(D20="",C20,(C20+D20)/2)*E20*$C$1)</f>
        <v/>
      </c>
    </row>
    <row r="21">
      <c r="A21" s="11" t="n"/>
      <c r="B21" s="11" t="n"/>
      <c r="C21" s="11" t="n"/>
      <c r="D21" s="11" t="n"/>
      <c r="E21" s="11" t="n"/>
      <c r="F21" s="10">
        <f>IF(C21="","",IF(D21="",C21,(C21+D21)/2)*E21*$C$1)</f>
        <v/>
      </c>
    </row>
    <row r="22">
      <c r="A22" s="11" t="n"/>
      <c r="B22" s="11" t="n"/>
      <c r="C22" s="11" t="n"/>
      <c r="D22" s="11" t="n"/>
      <c r="E22" s="11" t="n"/>
      <c r="F22" s="10">
        <f>IF(C22="","",IF(D22="",C22,(C22+D22)/2)*E22*$C$1)</f>
        <v/>
      </c>
    </row>
    <row r="23">
      <c r="A23" s="11" t="n"/>
      <c r="B23" s="11" t="n"/>
      <c r="C23" s="11" t="n"/>
      <c r="D23" s="11" t="n"/>
      <c r="E23" s="11" t="n"/>
      <c r="F23" s="10">
        <f>IF(C23="","",IF(D23="",C23,(C23+D23)/2)*E23*$C$1)</f>
        <v/>
      </c>
    </row>
    <row r="24">
      <c r="A24" s="11" t="n"/>
      <c r="B24" s="11" t="n"/>
      <c r="C24" s="11" t="n"/>
      <c r="D24" s="11" t="n"/>
      <c r="E24" s="11" t="n"/>
      <c r="F24" s="10">
        <f>IF(C24="","",IF(D24="",C24,(C24+D24)/2)*E24*$C$1)</f>
        <v/>
      </c>
    </row>
    <row r="25">
      <c r="A25" s="11" t="n"/>
      <c r="B25" s="11" t="n"/>
      <c r="C25" s="11" t="n"/>
      <c r="D25" s="11" t="n"/>
      <c r="E25" s="11" t="n"/>
      <c r="F25" s="10">
        <f>IF(C25="","",IF(D25="",C25,(C25+D25)/2)*E25*$C$1)</f>
        <v/>
      </c>
    </row>
    <row r="26">
      <c r="A26" s="11" t="n"/>
      <c r="B26" s="11" t="n"/>
      <c r="C26" s="11" t="n"/>
      <c r="D26" s="11" t="n"/>
      <c r="E26" s="11" t="n"/>
      <c r="F26" s="10">
        <f>IF(C26="","",IF(D26="",C26,(C26+D26)/2)*E26*$C$1)</f>
        <v/>
      </c>
    </row>
    <row r="27">
      <c r="A27" s="11" t="n"/>
      <c r="B27" s="11" t="n"/>
      <c r="C27" s="11" t="n"/>
      <c r="D27" s="11" t="n"/>
      <c r="E27" s="11" t="n"/>
      <c r="F27" s="10">
        <f>IF(C27="","",IF(D27="",C27,(C27+D27)/2)*E27*$C$1)</f>
        <v/>
      </c>
    </row>
    <row r="28">
      <c r="A28" s="11" t="n"/>
      <c r="B28" s="11" t="n"/>
      <c r="C28" s="11" t="n"/>
      <c r="D28" s="11" t="n"/>
      <c r="E28" s="11" t="n"/>
      <c r="F28" s="10">
        <f>IF(C28="","",IF(D28="",C28,(C28+D28)/2)*E28*$C$1)</f>
        <v/>
      </c>
    </row>
    <row r="29">
      <c r="A29" s="11" t="n"/>
      <c r="B29" s="11" t="n"/>
      <c r="C29" s="11" t="n"/>
      <c r="D29" s="11" t="n"/>
      <c r="E29" s="11" t="n"/>
      <c r="F29" s="10">
        <f>IF(C29="","",IF(D29="",C29,(C29+D29)/2)*E29*$C$1)</f>
        <v/>
      </c>
    </row>
    <row r="30">
      <c r="A30" s="11" t="n"/>
      <c r="B30" s="11" t="n"/>
      <c r="C30" s="11" t="n"/>
      <c r="D30" s="11" t="n"/>
      <c r="E30" s="11" t="n"/>
      <c r="F30" s="10">
        <f>IF(C30="","",IF(D30="",C30,(C30+D30)/2)*E30*$C$1)</f>
        <v/>
      </c>
    </row>
    <row r="31">
      <c r="A31" s="11" t="n"/>
      <c r="B31" s="11" t="n"/>
      <c r="C31" s="11" t="n"/>
      <c r="D31" s="11" t="n"/>
      <c r="E31" s="11" t="n"/>
      <c r="F31" s="10">
        <f>IF(C31="","",IF(D31="",C31,(C31+D31)/2)*E31*$C$1)</f>
        <v/>
      </c>
    </row>
    <row r="32">
      <c r="A32" s="11" t="n"/>
      <c r="B32" s="11" t="n"/>
      <c r="C32" s="11" t="n"/>
      <c r="D32" s="11" t="n"/>
      <c r="E32" s="11" t="n"/>
      <c r="F32" s="10">
        <f>IF(C32="","",IF(D32="",C32,(C32+D32)/2)*E32*$C$1)</f>
        <v/>
      </c>
    </row>
    <row r="33">
      <c r="A33" s="11" t="n"/>
      <c r="B33" s="11" t="n"/>
      <c r="C33" s="11" t="n"/>
      <c r="D33" s="11" t="n"/>
      <c r="E33" s="11" t="n"/>
      <c r="F33" s="10">
        <f>IF(C33="","",IF(D33="",C33,(C33+D33)/2)*E33*$C$1)</f>
        <v/>
      </c>
    </row>
    <row r="34">
      <c r="A34" s="11" t="n"/>
      <c r="B34" s="11" t="n"/>
      <c r="C34" s="11" t="n"/>
      <c r="D34" s="11" t="n"/>
      <c r="E34" s="11" t="n"/>
      <c r="F34" s="10">
        <f>IF(C34="","",IF(D34="",C34,(C34+D34)/2)*E34*$C$1)</f>
        <v/>
      </c>
    </row>
    <row r="35">
      <c r="A35" s="11" t="n"/>
      <c r="B35" s="11" t="n"/>
      <c r="C35" s="11" t="n"/>
      <c r="D35" s="11" t="n"/>
      <c r="E35" s="11" t="n"/>
      <c r="F35" s="10">
        <f>IF(C35="","",IF(D35="",C35,(C35+D35)/2)*E35*$C$1)</f>
        <v/>
      </c>
    </row>
    <row r="36">
      <c r="A36" s="11" t="n"/>
      <c r="B36" s="11" t="n"/>
      <c r="C36" s="11" t="n"/>
      <c r="D36" s="11" t="n"/>
      <c r="E36" s="11" t="n"/>
      <c r="F36" s="10">
        <f>IF(C36="","",IF(D36="",C36,(C36+D36)/2)*E36*$C$1)</f>
        <v/>
      </c>
    </row>
    <row r="37">
      <c r="A37" s="11" t="n"/>
      <c r="B37" s="11" t="n"/>
      <c r="C37" s="11" t="n"/>
      <c r="D37" s="11" t="n"/>
      <c r="E37" s="11" t="n"/>
      <c r="F37" s="10">
        <f>IF(C37="","",IF(D37="",C37,(C37+D37)/2)*E37*$C$1)</f>
        <v/>
      </c>
    </row>
    <row r="38">
      <c r="A38" s="11" t="n"/>
      <c r="B38" s="11" t="n"/>
      <c r="C38" s="11" t="n"/>
      <c r="D38" s="11" t="n"/>
      <c r="E38" s="11" t="n"/>
      <c r="F38" s="10">
        <f>IF(C38="","",IF(D38="",C38,(C38+D38)/2)*E38*$C$1)</f>
        <v/>
      </c>
    </row>
    <row r="39">
      <c r="A39" s="11" t="n"/>
      <c r="B39" s="11" t="n"/>
      <c r="C39" s="11" t="n"/>
      <c r="D39" s="11" t="n"/>
      <c r="E39" s="11" t="n"/>
      <c r="F39" s="10">
        <f>IF(C39="","",IF(D39="",C39,(C39+D39)/2)*E39*$C$1)</f>
        <v/>
      </c>
    </row>
    <row r="40">
      <c r="A40" s="11" t="n"/>
      <c r="B40" s="11" t="n"/>
      <c r="C40" s="11" t="n"/>
      <c r="D40" s="11" t="n"/>
      <c r="E40" s="11" t="n"/>
      <c r="F40" s="10">
        <f>IF(C40="","",IF(D40="",C40,(C40+D40)/2)*E40*$C$1)</f>
        <v/>
      </c>
    </row>
    <row r="41">
      <c r="A41" s="11" t="n"/>
      <c r="B41" s="11" t="n"/>
      <c r="C41" s="11" t="n"/>
      <c r="D41" s="11" t="n"/>
      <c r="E41" s="11" t="n"/>
      <c r="F41" s="10">
        <f>IF(C41="","",IF(D41="",C41,(C41+D41)/2)*E41*$C$1)</f>
        <v/>
      </c>
    </row>
    <row r="42">
      <c r="A42" s="11" t="n"/>
      <c r="B42" s="11" t="n"/>
      <c r="C42" s="11" t="n"/>
      <c r="D42" s="11" t="n"/>
      <c r="E42" s="11" t="n"/>
      <c r="F42" s="10">
        <f>IF(C42="","",IF(D42="",C42,(C42+D42)/2)*E42*$C$1)</f>
        <v/>
      </c>
    </row>
    <row r="43">
      <c r="A43" s="11" t="n"/>
      <c r="B43" s="11" t="n"/>
      <c r="C43" s="11" t="n"/>
      <c r="D43" s="11" t="n"/>
      <c r="E43" s="11" t="n"/>
      <c r="F43" s="10">
        <f>IF(C43="","",IF(D43="",C43,(C43+D43)/2)*E43*$C$1)</f>
        <v/>
      </c>
    </row>
  </sheetData>
  <dataValidations count="1">
    <dataValidation sqref="B4:B43" showDropDown="0" showInputMessage="0" showErrorMessage="0" allowBlank="1" type="list">
      <formula1>"可燃ごみ,生ごみ,不燃ごみ,瓶,缶,ペットボトル,段ボール,その他"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2026-08-06T07:49:06Z</dcterms:created>
  <dcterms:modified xsi:type="dcterms:W3CDTF">2026-08-06T07:49:06Z</dcterms:modified>
</cp:coreProperties>
</file>
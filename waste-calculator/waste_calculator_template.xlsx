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かんたん入力" sheetId="2" state="visible" r:id="rId2"/>
    <sheet name="詳細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D24"/>
      <sz val="14"/>
    </font>
    <font>
      <name val="Arial"/>
      <color rgb="006B6F65"/>
      <sz val="10"/>
    </font>
    <font>
      <name val="Arial"/>
      <b val="1"/>
      <color rgb="001F3D2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6F65"/>
      <sz val="9"/>
    </font>
    <font>
      <name val="Arial"/>
      <b val="1"/>
      <color rgb="00FFFF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D24"/>
      </patternFill>
    </fill>
  </fills>
  <borders count="2">
    <border>
      <left/>
      <right/>
      <top/>
      <bottom/>
      <diagonal/>
    </border>
    <border>
      <left style="thin">
        <color rgb="00D9DCD3"/>
      </left>
      <right style="thin">
        <color rgb="00D9DCD3"/>
      </right>
      <top style="thin">
        <color rgb="00D9DCD3"/>
      </top>
      <bottom style="thin">
        <color rgb="00D9DC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9" fillId="0" borderId="1" pivotButton="0" quotePrefix="0" xfId="0"/>
    <xf numFmtId="0" fontId="0" fillId="0" borderId="1" pivotButton="0" quotePrefix="0" xfId="0"/>
    <xf numFmtId="3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廃棄物コネクト 案件量計算ツール</t>
        </is>
      </c>
    </row>
    <row r="3">
      <c r="B3" s="2" t="inlineStr">
        <is>
          <t>ヒアリング内容から月間の袋数・容量・概算料金を自動計算するテンプレートです。</t>
        </is>
      </c>
    </row>
    <row r="5">
      <c r="B5" s="3" t="inlineStr">
        <is>
          <t>① どちらのシートを使うか</t>
        </is>
      </c>
    </row>
    <row r="6">
      <c r="B6" s="4" t="inlineStr">
        <is>
          <t>「かんたん入力」：種別・数量・頻度だけで月間袋数をサッと出したいとき。</t>
        </is>
      </c>
    </row>
    <row r="7">
      <c r="B7" s="4" t="inlineStr">
        <is>
          <t>「詳細入力」：単位・袋サイズ・重量・単価まで含めて月間容量や概算料金も試算したいとき。</t>
        </is>
      </c>
    </row>
    <row r="8">
      <c r="B8" s="4" t="inlineStr">
        <is>
          <t>どちらも青字のセルのみ入力してください（黒字は自動計算の数式です）。</t>
        </is>
      </c>
    </row>
    <row r="9">
      <c r="B9" s="4" t="inlineStr"/>
    </row>
    <row r="10">
      <c r="B10" s="3" t="inlineStr">
        <is>
          <t>② 入力のしかた</t>
        </is>
      </c>
    </row>
    <row r="11">
      <c r="B11" s="4" t="inlineStr">
        <is>
          <t>・案件名：案件ごとに分かる名前を入力（複数案件を1シートに並べてOK）</t>
        </is>
      </c>
    </row>
    <row r="12">
      <c r="B12" s="4" t="inlineStr">
        <is>
          <t>・種別：可燃ごみ／生ごみ／不燃ごみ／瓶／缶／ペットボトル／段ボール／その他 からドロップダウンで選択</t>
        </is>
      </c>
    </row>
    <row r="13">
      <c r="B13" s="4" t="inlineStr">
        <is>
          <t>・頻度(週◯回)：収集の頻度。例:「1日1〜2袋、週5回」→数量1〜2・頻度5、「週に1〜2袋」→数量1〜2・頻度1</t>
        </is>
      </c>
    </row>
    <row r="14">
      <c r="B14" s="4" t="inlineStr">
        <is>
          <t>・数量min／数量max：「1〜2袋」のように幅がある場合は両方入力。「2袋」のように1つだけの場合は数量maxを空欄にすればOK（数量minの値だけで計算されます）。</t>
        </is>
      </c>
    </row>
    <row r="15">
      <c r="B15" s="4" t="inlineStr">
        <is>
          <t>・（詳細入力のみ）重量(kg/個)：料金計算のもとになる重量。45L≈5kg・70L≈8kgの実測値をもとにした目安を仮入力していますが、必要に応じて修正してください（段ボールは1枚≈0.3kgが目安）。</t>
        </is>
      </c>
    </row>
    <row r="16">
      <c r="B16" s="4" t="inlineStr">
        <is>
          <t>・（詳細入力のみ）単価(円/kg)：1kgあたりの料金。可燃40円・不燃100円・段ボール35円を仮入力済み（実際の契約単価に合わせて修正してください）</t>
        </is>
      </c>
    </row>
    <row r="17">
      <c r="B17" s="4" t="inlineStr"/>
    </row>
    <row r="18">
      <c r="B18" s="3" t="inlineStr">
        <is>
          <t>③ 前提</t>
        </is>
      </c>
    </row>
    <row r="19">
      <c r="B19" s="4" t="inlineStr">
        <is>
          <t>1ヶ月あたりの週数は各シートのC1セルで設定（既定値 4.35週 ＝ 365日 ÷ 12ヶ月 ÷ 7日）。</t>
        </is>
      </c>
    </row>
    <row r="20">
      <c r="B20" s="4" t="inlineStr">
        <is>
          <t>数量が明記されていない項目（例:「不燃物 週2日」のみで数量記載なし）は 1回1袋 と仮定しています。実数が分かり次第、数量欄を修正してください。</t>
        </is>
      </c>
    </row>
    <row r="21">
      <c r="B21" s="4" t="inlineStr">
        <is>
          <t>概算料金＝月間量×重量(kg/個)×単価(円/kg)で計算しています。重量が未入力の項目は料金計算から除外されます。</t>
        </is>
      </c>
    </row>
    <row r="22">
      <c r="B22" s="4" t="inlineStr">
        <is>
          <t>初回手数料（詳細入力シートC2セル、既定 ¥3,000）は新規契約の案件ごとに一律で加算する費用です。ご提示金額＝その案件の月間概算料金の合計＋初回手数料、として手動で合算してください。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案件名</t>
        </is>
      </c>
      <c r="B3" s="8" t="inlineStr">
        <is>
          <t>種別</t>
        </is>
      </c>
      <c r="C3" s="8" t="inlineStr">
        <is>
          <t>数量min(1回あたり)</t>
        </is>
      </c>
      <c r="D3" s="8" t="inlineStr">
        <is>
          <t>数量max(1回あたり)</t>
        </is>
      </c>
      <c r="E3" s="8" t="inlineStr">
        <is>
          <t>頻度(週◯回)</t>
        </is>
      </c>
      <c r="F3" s="8" t="inlineStr">
        <is>
          <t>月間量(平均)</t>
        </is>
      </c>
    </row>
    <row r="4">
      <c r="A4" s="9" t="inlineStr">
        <is>
          <t>新宿区の新規案件（laidback cafeの例）</t>
        </is>
      </c>
      <c r="B4" s="9" t="inlineStr">
        <is>
          <t>可燃ごみ</t>
        </is>
      </c>
      <c r="C4" s="9" t="n">
        <v>1</v>
      </c>
      <c r="D4" s="9" t="n">
        <v>2</v>
      </c>
      <c r="E4" s="9" t="n">
        <v>7</v>
      </c>
      <c r="F4" s="10">
        <f>IF(C4="","",IF(D4="",C4,(C4+D4)/2)*E4*$C$1)</f>
        <v/>
      </c>
    </row>
    <row r="5">
      <c r="A5" s="9" t="inlineStr">
        <is>
          <t>新宿区の新規案件（laidback cafeの例）</t>
        </is>
      </c>
      <c r="B5" s="9" t="inlineStr">
        <is>
          <t>生ごみ</t>
        </is>
      </c>
      <c r="C5" s="9" t="n">
        <v>1</v>
      </c>
      <c r="D5" s="9" t="n">
        <v>2</v>
      </c>
      <c r="E5" s="9" t="n">
        <v>7</v>
      </c>
      <c r="F5" s="10">
        <f>IF(C5="","",IF(D5="",C5,(C5+D5)/2)*E5*$C$1)</f>
        <v/>
      </c>
    </row>
    <row r="6">
      <c r="A6" s="9" t="inlineStr">
        <is>
          <t>新宿区の新規案件（laidback cafeの例）</t>
        </is>
      </c>
      <c r="B6" s="9" t="inlineStr">
        <is>
          <t>瓶</t>
        </is>
      </c>
      <c r="C6" s="9" t="n">
        <v>1</v>
      </c>
      <c r="D6" s="9" t="n">
        <v>2</v>
      </c>
      <c r="E6" s="9" t="n">
        <v>1</v>
      </c>
      <c r="F6" s="10">
        <f>IF(C6="","",IF(D6="",C6,(C6+D6)/2)*E6*$C$1)</f>
        <v/>
      </c>
    </row>
    <row r="7">
      <c r="A7" s="9" t="inlineStr">
        <is>
          <t>新宿区の新規案件（laidback cafeの例）</t>
        </is>
      </c>
      <c r="B7" s="9" t="inlineStr">
        <is>
          <t>缶</t>
        </is>
      </c>
      <c r="C7" s="9" t="n">
        <v>1</v>
      </c>
      <c r="D7" s="9" t="n">
        <v>2</v>
      </c>
      <c r="E7" s="9" t="n">
        <v>1</v>
      </c>
      <c r="F7" s="10">
        <f>IF(C7="","",IF(D7="",C7,(C7+D7)/2)*E7*$C$1)</f>
        <v/>
      </c>
    </row>
    <row r="8">
      <c r="A8" s="9" t="inlineStr">
        <is>
          <t>新宿区の新規案件（laidback cafeの例）</t>
        </is>
      </c>
      <c r="B8" s="9" t="inlineStr">
        <is>
          <t>ペットボトル</t>
        </is>
      </c>
      <c r="C8" s="9" t="n">
        <v>1</v>
      </c>
      <c r="D8" s="9" t="n">
        <v>2</v>
      </c>
      <c r="E8" s="9" t="n">
        <v>1</v>
      </c>
      <c r="F8" s="10">
        <f>IF(C8="","",IF(D8="",C8,(C8+D8)/2)*E8*$C$1)</f>
        <v/>
      </c>
    </row>
    <row r="9">
      <c r="A9" s="9" t="inlineStr">
        <is>
          <t>新宿区の新規案件（laidback cafeの例）</t>
        </is>
      </c>
      <c r="B9" s="9" t="inlineStr">
        <is>
          <t>段ボール</t>
        </is>
      </c>
      <c r="C9" s="9" t="n">
        <v>5</v>
      </c>
      <c r="D9" s="9" t="n">
        <v>10</v>
      </c>
      <c r="E9" s="9" t="n">
        <v>1</v>
      </c>
      <c r="F9" s="10">
        <f>IF(C9="","",IF(D9="",C9,(C9+D9)/2)*E9*$C$1)</f>
        <v/>
      </c>
    </row>
    <row r="10">
      <c r="A10" s="9" t="inlineStr">
        <is>
          <t>中野区の現行案件の例</t>
        </is>
      </c>
      <c r="B10" s="9" t="inlineStr">
        <is>
          <t>可燃ごみ</t>
        </is>
      </c>
      <c r="C10" s="9" t="n">
        <v>1</v>
      </c>
      <c r="D10" s="9" t="n">
        <v>2</v>
      </c>
      <c r="E10" s="9" t="n">
        <v>5</v>
      </c>
      <c r="F10" s="10">
        <f>IF(C10="","",IF(D10="",C10,(C10+D10)/2)*E10*$C$1)</f>
        <v/>
      </c>
    </row>
    <row r="11">
      <c r="A11" s="9" t="inlineStr">
        <is>
          <t>中野区の現行案件の例</t>
        </is>
      </c>
      <c r="B11" s="9" t="inlineStr">
        <is>
          <t>不燃ごみ</t>
        </is>
      </c>
      <c r="C11" s="9" t="n">
        <v>1</v>
      </c>
      <c r="D11" s="9" t="n">
        <v>1</v>
      </c>
      <c r="E11" s="9" t="n">
        <v>2</v>
      </c>
      <c r="F11" s="10">
        <f>IF(C11="","",IF(D11="",C11,(C11+D11)/2)*E11*$C$1)</f>
        <v/>
      </c>
    </row>
    <row r="12">
      <c r="A12" s="11" t="n"/>
      <c r="B12" s="11" t="n"/>
      <c r="C12" s="11" t="n"/>
      <c r="D12" s="11" t="n"/>
      <c r="E12" s="11" t="n"/>
      <c r="F12" s="10">
        <f>IF(C12="","",IF(D12="",C12,(C12+D12)/2)*E12*$C$1)</f>
        <v/>
      </c>
    </row>
    <row r="13">
      <c r="A13" s="11" t="n"/>
      <c r="B13" s="11" t="n"/>
      <c r="C13" s="11" t="n"/>
      <c r="D13" s="11" t="n"/>
      <c r="E13" s="11" t="n"/>
      <c r="F13" s="10">
        <f>IF(C13="","",IF(D13="",C13,(C13+D13)/2)*E13*$C$1)</f>
        <v/>
      </c>
    </row>
    <row r="14">
      <c r="A14" s="11" t="n"/>
      <c r="B14" s="11" t="n"/>
      <c r="C14" s="11" t="n"/>
      <c r="D14" s="11" t="n"/>
      <c r="E14" s="11" t="n"/>
      <c r="F14" s="10">
        <f>IF(C14="","",IF(D14="",C14,(C14+D14)/2)*E14*$C$1)</f>
        <v/>
      </c>
    </row>
    <row r="15">
      <c r="A15" s="11" t="n"/>
      <c r="B15" s="11" t="n"/>
      <c r="C15" s="11" t="n"/>
      <c r="D15" s="11" t="n"/>
      <c r="E15" s="11" t="n"/>
      <c r="F15" s="10">
        <f>IF(C15="","",IF(D15="",C15,(C15+D15)/2)*E15*$C$1)</f>
        <v/>
      </c>
    </row>
    <row r="16">
      <c r="A16" s="11" t="n"/>
      <c r="B16" s="11" t="n"/>
      <c r="C16" s="11" t="n"/>
      <c r="D16" s="11" t="n"/>
      <c r="E16" s="11" t="n"/>
      <c r="F16" s="10">
        <f>IF(C16="","",IF(D16="",C16,(C16+D16)/2)*E16*$C$1)</f>
        <v/>
      </c>
    </row>
    <row r="17">
      <c r="A17" s="11" t="n"/>
      <c r="B17" s="11" t="n"/>
      <c r="C17" s="11" t="n"/>
      <c r="D17" s="11" t="n"/>
      <c r="E17" s="11" t="n"/>
      <c r="F17" s="10">
        <f>IF(C17="","",IF(D17="",C17,(C17+D17)/2)*E17*$C$1)</f>
        <v/>
      </c>
    </row>
    <row r="18">
      <c r="A18" s="11" t="n"/>
      <c r="B18" s="11" t="n"/>
      <c r="C18" s="11" t="n"/>
      <c r="D18" s="11" t="n"/>
      <c r="E18" s="11" t="n"/>
      <c r="F18" s="10">
        <f>IF(C18="","",IF(D18="",C18,(C18+D18)/2)*E18*$C$1)</f>
        <v/>
      </c>
    </row>
    <row r="19">
      <c r="A19" s="11" t="n"/>
      <c r="B19" s="11" t="n"/>
      <c r="C19" s="11" t="n"/>
      <c r="D19" s="11" t="n"/>
      <c r="E19" s="11" t="n"/>
      <c r="F19" s="10">
        <f>IF(C19="","",IF(D19="",C19,(C19+D19)/2)*E19*$C$1)</f>
        <v/>
      </c>
    </row>
    <row r="20">
      <c r="A20" s="11" t="n"/>
      <c r="B20" s="11" t="n"/>
      <c r="C20" s="11" t="n"/>
      <c r="D20" s="11" t="n"/>
      <c r="E20" s="11" t="n"/>
      <c r="F20" s="10">
        <f>IF(C20="","",IF(D20="",C20,(C20+D20)/2)*E20*$C$1)</f>
        <v/>
      </c>
    </row>
    <row r="21">
      <c r="A21" s="11" t="n"/>
      <c r="B21" s="11" t="n"/>
      <c r="C21" s="11" t="n"/>
      <c r="D21" s="11" t="n"/>
      <c r="E21" s="11" t="n"/>
      <c r="F21" s="10">
        <f>IF(C21="","",IF(D21="",C21,(C21+D21)/2)*E21*$C$1)</f>
        <v/>
      </c>
    </row>
    <row r="22">
      <c r="A22" s="11" t="n"/>
      <c r="B22" s="11" t="n"/>
      <c r="C22" s="11" t="n"/>
      <c r="D22" s="11" t="n"/>
      <c r="E22" s="11" t="n"/>
      <c r="F22" s="10">
        <f>IF(C22="","",IF(D22="",C22,(C22+D22)/2)*E22*$C$1)</f>
        <v/>
      </c>
    </row>
    <row r="23">
      <c r="A23" s="11" t="n"/>
      <c r="B23" s="11" t="n"/>
      <c r="C23" s="11" t="n"/>
      <c r="D23" s="11" t="n"/>
      <c r="E23" s="11" t="n"/>
      <c r="F23" s="10">
        <f>IF(C23="","",IF(D23="",C23,(C23+D23)/2)*E23*$C$1)</f>
        <v/>
      </c>
    </row>
    <row r="24">
      <c r="A24" s="11" t="n"/>
      <c r="B24" s="11" t="n"/>
      <c r="C24" s="11" t="n"/>
      <c r="D24" s="11" t="n"/>
      <c r="E24" s="11" t="n"/>
      <c r="F24" s="10">
        <f>IF(C24="","",IF(D24="",C24,(C24+D24)/2)*E24*$C$1)</f>
        <v/>
      </c>
    </row>
    <row r="25">
      <c r="A25" s="11" t="n"/>
      <c r="B25" s="11" t="n"/>
      <c r="C25" s="11" t="n"/>
      <c r="D25" s="11" t="n"/>
      <c r="E25" s="11" t="n"/>
      <c r="F25" s="10">
        <f>IF(C25="","",IF(D25="",C25,(C25+D25)/2)*E25*$C$1)</f>
        <v/>
      </c>
    </row>
    <row r="26">
      <c r="A26" s="11" t="n"/>
      <c r="B26" s="11" t="n"/>
      <c r="C26" s="11" t="n"/>
      <c r="D26" s="11" t="n"/>
      <c r="E26" s="11" t="n"/>
      <c r="F26" s="10">
        <f>IF(C26="","",IF(D26="",C26,(C26+D26)/2)*E26*$C$1)</f>
        <v/>
      </c>
    </row>
    <row r="27">
      <c r="A27" s="11" t="n"/>
      <c r="B27" s="11" t="n"/>
      <c r="C27" s="11" t="n"/>
      <c r="D27" s="11" t="n"/>
      <c r="E27" s="11" t="n"/>
      <c r="F27" s="10">
        <f>IF(C27="","",IF(D27="",C27,(C27+D27)/2)*E27*$C$1)</f>
        <v/>
      </c>
    </row>
    <row r="28">
      <c r="A28" s="11" t="n"/>
      <c r="B28" s="11" t="n"/>
      <c r="C28" s="11" t="n"/>
      <c r="D28" s="11" t="n"/>
      <c r="E28" s="11" t="n"/>
      <c r="F28" s="10">
        <f>IF(C28="","",IF(D28="",C28,(C28+D28)/2)*E28*$C$1)</f>
        <v/>
      </c>
    </row>
    <row r="29">
      <c r="A29" s="11" t="n"/>
      <c r="B29" s="11" t="n"/>
      <c r="C29" s="11" t="n"/>
      <c r="D29" s="11" t="n"/>
      <c r="E29" s="11" t="n"/>
      <c r="F29" s="10">
        <f>IF(C29="","",IF(D29="",C29,(C29+D29)/2)*E29*$C$1)</f>
        <v/>
      </c>
    </row>
    <row r="30">
      <c r="A30" s="11" t="n"/>
      <c r="B30" s="11" t="n"/>
      <c r="C30" s="11" t="n"/>
      <c r="D30" s="11" t="n"/>
      <c r="E30" s="11" t="n"/>
      <c r="F30" s="10">
        <f>IF(C30="","",IF(D30="",C30,(C30+D30)/2)*E30*$C$1)</f>
        <v/>
      </c>
    </row>
    <row r="31">
      <c r="A31" s="11" t="n"/>
      <c r="B31" s="11" t="n"/>
      <c r="C31" s="11" t="n"/>
      <c r="D31" s="11" t="n"/>
      <c r="E31" s="11" t="n"/>
      <c r="F31" s="10">
        <f>IF(C31="","",IF(D31="",C31,(C31+D31)/2)*E31*$C$1)</f>
        <v/>
      </c>
    </row>
    <row r="32">
      <c r="A32" s="11" t="n"/>
      <c r="B32" s="11" t="n"/>
      <c r="C32" s="11" t="n"/>
      <c r="D32" s="11" t="n"/>
      <c r="E32" s="11" t="n"/>
      <c r="F32" s="10">
        <f>IF(C32="","",IF(D32="",C32,(C32+D32)/2)*E32*$C$1)</f>
        <v/>
      </c>
    </row>
    <row r="33">
      <c r="A33" s="11" t="n"/>
      <c r="B33" s="11" t="n"/>
      <c r="C33" s="11" t="n"/>
      <c r="D33" s="11" t="n"/>
      <c r="E33" s="11" t="n"/>
      <c r="F33" s="10">
        <f>IF(C33="","",IF(D33="",C33,(C33+D33)/2)*E33*$C$1)</f>
        <v/>
      </c>
    </row>
    <row r="34">
      <c r="A34" s="11" t="n"/>
      <c r="B34" s="11" t="n"/>
      <c r="C34" s="11" t="n"/>
      <c r="D34" s="11" t="n"/>
      <c r="E34" s="11" t="n"/>
      <c r="F34" s="10">
        <f>IF(C34="","",IF(D34="",C34,(C34+D34)/2)*E34*$C$1)</f>
        <v/>
      </c>
    </row>
    <row r="35">
      <c r="A35" s="11" t="n"/>
      <c r="B35" s="11" t="n"/>
      <c r="C35" s="11" t="n"/>
      <c r="D35" s="11" t="n"/>
      <c r="E35" s="11" t="n"/>
      <c r="F35" s="10">
        <f>IF(C35="","",IF(D35="",C35,(C35+D35)/2)*E35*$C$1)</f>
        <v/>
      </c>
    </row>
    <row r="36">
      <c r="A36" s="11" t="n"/>
      <c r="B36" s="11" t="n"/>
      <c r="C36" s="11" t="n"/>
      <c r="D36" s="11" t="n"/>
      <c r="E36" s="11" t="n"/>
      <c r="F36" s="10">
        <f>IF(C36="","",IF(D36="",C36,(C36+D36)/2)*E36*$C$1)</f>
        <v/>
      </c>
    </row>
    <row r="37">
      <c r="A37" s="11" t="n"/>
      <c r="B37" s="11" t="n"/>
      <c r="C37" s="11" t="n"/>
      <c r="D37" s="11" t="n"/>
      <c r="E37" s="11" t="n"/>
      <c r="F37" s="10">
        <f>IF(C37="","",IF(D37="",C37,(C37+D37)/2)*E37*$C$1)</f>
        <v/>
      </c>
    </row>
    <row r="38">
      <c r="A38" s="11" t="n"/>
      <c r="B38" s="11" t="n"/>
      <c r="C38" s="11" t="n"/>
      <c r="D38" s="11" t="n"/>
      <c r="E38" s="11" t="n"/>
      <c r="F38" s="10">
        <f>IF(C38="","",IF(D38="",C38,(C38+D38)/2)*E38*$C$1)</f>
        <v/>
      </c>
    </row>
    <row r="39">
      <c r="A39" s="11" t="n"/>
      <c r="B39" s="11" t="n"/>
      <c r="C39" s="11" t="n"/>
      <c r="D39" s="11" t="n"/>
      <c r="E39" s="11" t="n"/>
      <c r="F39" s="10">
        <f>IF(C39="","",IF(D39="",C39,(C39+D39)/2)*E39*$C$1)</f>
        <v/>
      </c>
    </row>
    <row r="40">
      <c r="A40" s="11" t="n"/>
      <c r="B40" s="11" t="n"/>
      <c r="C40" s="11" t="n"/>
      <c r="D40" s="11" t="n"/>
      <c r="E40" s="11" t="n"/>
      <c r="F40" s="10">
        <f>IF(C40="","",IF(D40="",C40,(C40+D40)/2)*E40*$C$1)</f>
        <v/>
      </c>
    </row>
    <row r="41">
      <c r="A41" s="11" t="n"/>
      <c r="B41" s="11" t="n"/>
      <c r="C41" s="11" t="n"/>
      <c r="D41" s="11" t="n"/>
      <c r="E41" s="11" t="n"/>
      <c r="F41" s="10">
        <f>IF(C41="","",IF(D41="",C41,(C41+D41)/2)*E41*$C$1)</f>
        <v/>
      </c>
    </row>
    <row r="42">
      <c r="A42" s="11" t="n"/>
      <c r="B42" s="11" t="n"/>
      <c r="C42" s="11" t="n"/>
      <c r="D42" s="11" t="n"/>
      <c r="E42" s="11" t="n"/>
      <c r="F42" s="10">
        <f>IF(C42="","",IF(D42="",C42,(C42+D42)/2)*E42*$C$1)</f>
        <v/>
      </c>
    </row>
    <row r="43">
      <c r="A43" s="11" t="n"/>
      <c r="B43" s="11" t="n"/>
      <c r="C43" s="11" t="n"/>
      <c r="D43" s="11" t="n"/>
      <c r="E43" s="11" t="n"/>
      <c r="F43" s="10">
        <f>IF(C43="","",IF(D43="",C43,(C43+D43)/2)*E43*$C$1)</f>
        <v/>
      </c>
    </row>
  </sheetData>
  <dataValidations count="1">
    <dataValidation sqref="B4:B43" showDropDown="0" showInputMessage="0" showErrorMessage="0" allowBlank="1" type="list">
      <formula1>"可燃ごみ,生ごみ,不燃ごみ,瓶,缶,ペットボトル,段ボール,その他"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18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2">
      <c r="A2" s="5" t="inlineStr">
        <is>
          <t>初回手数料(円)</t>
        </is>
      </c>
      <c r="C2" s="6" t="n">
        <v>3000</v>
      </c>
      <c r="D2" s="7" t="inlineStr">
        <is>
          <t>※新規契約時に案件ごと一律で加算。ご提示金額＝月間概算料金の合計＋この金額（手動で合算してください）。</t>
        </is>
      </c>
    </row>
    <row r="3" ht="30" customHeight="1">
      <c r="A3" s="8" t="inlineStr">
        <is>
          <t>案件名</t>
        </is>
      </c>
      <c r="B3" s="8" t="inlineStr">
        <is>
          <t>種別</t>
        </is>
      </c>
      <c r="C3" s="8" t="inlineStr">
        <is>
          <t>単位(袋/枚)</t>
        </is>
      </c>
      <c r="D3" s="8" t="inlineStr">
        <is>
          <t>頻度パターン(日/週)</t>
        </is>
      </c>
      <c r="E3" s="8" t="inlineStr">
        <is>
          <t>数量min(1回あたり)</t>
        </is>
      </c>
      <c r="F3" s="8" t="inlineStr">
        <is>
          <t>数量max(1回あたり)</t>
        </is>
      </c>
      <c r="G3" s="8" t="inlineStr">
        <is>
          <t>週の収集日数(日パターンのみ)</t>
        </is>
      </c>
      <c r="H3" s="8" t="inlineStr">
        <is>
          <t>袋サイズ(L)</t>
        </is>
      </c>
      <c r="I3" s="8" t="inlineStr">
        <is>
          <t>重量(kg/個)</t>
        </is>
      </c>
      <c r="J3" s="8" t="inlineStr">
        <is>
          <t>単価(円/kg)</t>
        </is>
      </c>
      <c r="K3" s="8" t="inlineStr">
        <is>
          <t>月間量(平均)</t>
        </is>
      </c>
      <c r="L3" s="8" t="inlineStr">
        <is>
          <t>月間容量(L)</t>
        </is>
      </c>
      <c r="M3" s="8" t="inlineStr">
        <is>
          <t>月間重量(kg)</t>
        </is>
      </c>
      <c r="N3" s="8" t="inlineStr">
        <is>
          <t>月間概算料金(円)</t>
        </is>
      </c>
    </row>
    <row r="4">
      <c r="A4" s="9" t="inlineStr">
        <is>
          <t>新宿区の新規案件（laidback cafeの例）</t>
        </is>
      </c>
      <c r="B4" s="9" t="inlineStr">
        <is>
          <t>可燃ごみ</t>
        </is>
      </c>
      <c r="C4" s="9" t="inlineStr">
        <is>
          <t>袋</t>
        </is>
      </c>
      <c r="D4" s="9" t="inlineStr">
        <is>
          <t>日</t>
        </is>
      </c>
      <c r="E4" s="9" t="n">
        <v>1</v>
      </c>
      <c r="F4" s="9" t="n">
        <v>2</v>
      </c>
      <c r="G4" s="9" t="n">
        <v>7</v>
      </c>
      <c r="H4" s="9" t="n">
        <v>45</v>
      </c>
      <c r="I4" s="9" t="n">
        <v>5</v>
      </c>
      <c r="J4" s="9" t="n">
        <v>40</v>
      </c>
      <c r="K4" s="10">
        <f>IF(E4="","",IF(D4="日",IF(F4="",E4,(E4+F4)/2)*G4,IF(F4="",E4,(E4+F4)/2))*$C$1)</f>
        <v/>
      </c>
      <c r="L4" s="10">
        <f>IF(OR(K4="",H4=""),"",K4*H4)</f>
        <v/>
      </c>
      <c r="M4" s="10">
        <f>IF(OR(K4="",I4=""),"",K4*I4)</f>
        <v/>
      </c>
      <c r="N4" s="12">
        <f>IF(OR(M4="",J4=""),"",M4*J4)</f>
        <v/>
      </c>
    </row>
    <row r="5">
      <c r="A5" s="9" t="inlineStr">
        <is>
          <t>新宿区の新規案件（laidback cafeの例）</t>
        </is>
      </c>
      <c r="B5" s="9" t="inlineStr">
        <is>
          <t>生ごみ</t>
        </is>
      </c>
      <c r="C5" s="9" t="inlineStr">
        <is>
          <t>袋</t>
        </is>
      </c>
      <c r="D5" s="9" t="inlineStr">
        <is>
          <t>日</t>
        </is>
      </c>
      <c r="E5" s="9" t="n">
        <v>1</v>
      </c>
      <c r="F5" s="9" t="n">
        <v>2</v>
      </c>
      <c r="G5" s="9" t="n">
        <v>7</v>
      </c>
      <c r="H5" s="9" t="n">
        <v>45</v>
      </c>
      <c r="I5" s="9" t="n">
        <v>5</v>
      </c>
      <c r="J5" s="9" t="inlineStr"/>
      <c r="K5" s="10">
        <f>IF(E5="","",IF(D5="日",IF(F5="",E5,(E5+F5)/2)*G5,IF(F5="",E5,(E5+F5)/2))*$C$1)</f>
        <v/>
      </c>
      <c r="L5" s="10">
        <f>IF(OR(K5="",H5=""),"",K5*H5)</f>
        <v/>
      </c>
      <c r="M5" s="10">
        <f>IF(OR(K5="",I5=""),"",K5*I5)</f>
        <v/>
      </c>
      <c r="N5" s="12">
        <f>IF(OR(M5="",J5=""),"",M5*J5)</f>
        <v/>
      </c>
    </row>
    <row r="6">
      <c r="A6" s="9" t="inlineStr">
        <is>
          <t>新宿区の新規案件（laidback cafeの例）</t>
        </is>
      </c>
      <c r="B6" s="9" t="inlineStr">
        <is>
          <t>瓶</t>
        </is>
      </c>
      <c r="C6" s="9" t="inlineStr">
        <is>
          <t>袋</t>
        </is>
      </c>
      <c r="D6" s="9" t="inlineStr">
        <is>
          <t>週</t>
        </is>
      </c>
      <c r="E6" s="9" t="n">
        <v>1</v>
      </c>
      <c r="F6" s="9" t="n">
        <v>2</v>
      </c>
      <c r="G6" s="9" t="inlineStr"/>
      <c r="H6" s="9" t="n">
        <v>45</v>
      </c>
      <c r="I6" s="9" t="n">
        <v>5</v>
      </c>
      <c r="J6" s="9" t="inlineStr"/>
      <c r="K6" s="10">
        <f>IF(E6="","",IF(D6="日",IF(F6="",E6,(E6+F6)/2)*G6,IF(F6="",E6,(E6+F6)/2))*$C$1)</f>
        <v/>
      </c>
      <c r="L6" s="10">
        <f>IF(OR(K6="",H6=""),"",K6*H6)</f>
        <v/>
      </c>
      <c r="M6" s="10">
        <f>IF(OR(K6="",I6=""),"",K6*I6)</f>
        <v/>
      </c>
      <c r="N6" s="12">
        <f>IF(OR(M6="",J6=""),"",M6*J6)</f>
        <v/>
      </c>
    </row>
    <row r="7">
      <c r="A7" s="9" t="inlineStr">
        <is>
          <t>新宿区の新規案件（laidback cafeの例）</t>
        </is>
      </c>
      <c r="B7" s="9" t="inlineStr">
        <is>
          <t>缶</t>
        </is>
      </c>
      <c r="C7" s="9" t="inlineStr">
        <is>
          <t>袋</t>
        </is>
      </c>
      <c r="D7" s="9" t="inlineStr">
        <is>
          <t>週</t>
        </is>
      </c>
      <c r="E7" s="9" t="n">
        <v>1</v>
      </c>
      <c r="F7" s="9" t="n">
        <v>2</v>
      </c>
      <c r="G7" s="9" t="inlineStr"/>
      <c r="H7" s="9" t="n">
        <v>45</v>
      </c>
      <c r="I7" s="9" t="n">
        <v>5</v>
      </c>
      <c r="J7" s="9" t="inlineStr"/>
      <c r="K7" s="10">
        <f>IF(E7="","",IF(D7="日",IF(F7="",E7,(E7+F7)/2)*G7,IF(F7="",E7,(E7+F7)/2))*$C$1)</f>
        <v/>
      </c>
      <c r="L7" s="10">
        <f>IF(OR(K7="",H7=""),"",K7*H7)</f>
        <v/>
      </c>
      <c r="M7" s="10">
        <f>IF(OR(K7="",I7=""),"",K7*I7)</f>
        <v/>
      </c>
      <c r="N7" s="12">
        <f>IF(OR(M7="",J7=""),"",M7*J7)</f>
        <v/>
      </c>
    </row>
    <row r="8">
      <c r="A8" s="9" t="inlineStr">
        <is>
          <t>新宿区の新規案件（laidback cafeの例）</t>
        </is>
      </c>
      <c r="B8" s="9" t="inlineStr">
        <is>
          <t>ペットボトル</t>
        </is>
      </c>
      <c r="C8" s="9" t="inlineStr">
        <is>
          <t>袋</t>
        </is>
      </c>
      <c r="D8" s="9" t="inlineStr">
        <is>
          <t>週</t>
        </is>
      </c>
      <c r="E8" s="9" t="n">
        <v>1</v>
      </c>
      <c r="F8" s="9" t="n">
        <v>2</v>
      </c>
      <c r="G8" s="9" t="inlineStr"/>
      <c r="H8" s="9" t="n">
        <v>45</v>
      </c>
      <c r="I8" s="9" t="n">
        <v>5</v>
      </c>
      <c r="J8" s="9" t="inlineStr"/>
      <c r="K8" s="10">
        <f>IF(E8="","",IF(D8="日",IF(F8="",E8,(E8+F8)/2)*G8,IF(F8="",E8,(E8+F8)/2))*$C$1)</f>
        <v/>
      </c>
      <c r="L8" s="10">
        <f>IF(OR(K8="",H8=""),"",K8*H8)</f>
        <v/>
      </c>
      <c r="M8" s="10">
        <f>IF(OR(K8="",I8=""),"",K8*I8)</f>
        <v/>
      </c>
      <c r="N8" s="12">
        <f>IF(OR(M8="",J8=""),"",M8*J8)</f>
        <v/>
      </c>
    </row>
    <row r="9">
      <c r="A9" s="9" t="inlineStr">
        <is>
          <t>新宿区の新規案件（laidback cafeの例）</t>
        </is>
      </c>
      <c r="B9" s="9" t="inlineStr">
        <is>
          <t>段ボール</t>
        </is>
      </c>
      <c r="C9" s="9" t="inlineStr">
        <is>
          <t>枚</t>
        </is>
      </c>
      <c r="D9" s="9" t="inlineStr">
        <is>
          <t>週</t>
        </is>
      </c>
      <c r="E9" s="9" t="n">
        <v>5</v>
      </c>
      <c r="F9" s="9" t="n">
        <v>10</v>
      </c>
      <c r="G9" s="9" t="inlineStr"/>
      <c r="H9" s="9" t="inlineStr"/>
      <c r="I9" s="9" t="n">
        <v>0.3</v>
      </c>
      <c r="J9" s="9" t="n">
        <v>35</v>
      </c>
      <c r="K9" s="10">
        <f>IF(E9="","",IF(D9="日",IF(F9="",E9,(E9+F9)/2)*G9,IF(F9="",E9,(E9+F9)/2))*$C$1)</f>
        <v/>
      </c>
      <c r="L9" s="10">
        <f>IF(OR(K9="",H9=""),"",K9*H9)</f>
        <v/>
      </c>
      <c r="M9" s="10">
        <f>IF(OR(K9="",I9=""),"",K9*I9)</f>
        <v/>
      </c>
      <c r="N9" s="12">
        <f>IF(OR(M9="",J9=""),"",M9*J9)</f>
        <v/>
      </c>
    </row>
    <row r="10">
      <c r="A10" s="9" t="inlineStr">
        <is>
          <t>中野区の現行案件の例</t>
        </is>
      </c>
      <c r="B10" s="9" t="inlineStr">
        <is>
          <t>可燃ごみ</t>
        </is>
      </c>
      <c r="C10" s="9" t="inlineStr">
        <is>
          <t>袋</t>
        </is>
      </c>
      <c r="D10" s="9" t="inlineStr">
        <is>
          <t>日</t>
        </is>
      </c>
      <c r="E10" s="9" t="n">
        <v>1</v>
      </c>
      <c r="F10" s="9" t="n">
        <v>2</v>
      </c>
      <c r="G10" s="9" t="n">
        <v>5</v>
      </c>
      <c r="H10" s="9" t="n">
        <v>45</v>
      </c>
      <c r="I10" s="9" t="n">
        <v>5</v>
      </c>
      <c r="J10" s="9" t="n">
        <v>40</v>
      </c>
      <c r="K10" s="10">
        <f>IF(E10="","",IF(D10="日",IF(F10="",E10,(E10+F10)/2)*G10,IF(F10="",E10,(E10+F10)/2))*$C$1)</f>
        <v/>
      </c>
      <c r="L10" s="10">
        <f>IF(OR(K10="",H10=""),"",K10*H10)</f>
        <v/>
      </c>
      <c r="M10" s="10">
        <f>IF(OR(K10="",I10=""),"",K10*I10)</f>
        <v/>
      </c>
      <c r="N10" s="12">
        <f>IF(OR(M10="",J10=""),"",M10*J10)</f>
        <v/>
      </c>
    </row>
    <row r="11">
      <c r="A11" s="9" t="inlineStr">
        <is>
          <t>中野区の現行案件の例</t>
        </is>
      </c>
      <c r="B11" s="9" t="inlineStr">
        <is>
          <t>不燃ごみ</t>
        </is>
      </c>
      <c r="C11" s="9" t="inlineStr">
        <is>
          <t>袋</t>
        </is>
      </c>
      <c r="D11" s="9" t="inlineStr">
        <is>
          <t>日</t>
        </is>
      </c>
      <c r="E11" s="9" t="n">
        <v>1</v>
      </c>
      <c r="F11" s="9" t="n">
        <v>1</v>
      </c>
      <c r="G11" s="9" t="n">
        <v>2</v>
      </c>
      <c r="H11" s="9" t="n">
        <v>45</v>
      </c>
      <c r="I11" s="9" t="n">
        <v>5</v>
      </c>
      <c r="J11" s="9" t="n">
        <v>100</v>
      </c>
      <c r="K11" s="10">
        <f>IF(E11="","",IF(D11="日",IF(F11="",E11,(E11+F11)/2)*G11,IF(F11="",E11,(E11+F11)/2))*$C$1)</f>
        <v/>
      </c>
      <c r="L11" s="10">
        <f>IF(OR(K11="",H11=""),"",K11*H11)</f>
        <v/>
      </c>
      <c r="M11" s="10">
        <f>IF(OR(K11="",I11=""),"",K11*I11)</f>
        <v/>
      </c>
      <c r="N11" s="12">
        <f>IF(OR(M11="",J11=""),"",M11*J11)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0">
        <f>IF(E12="","",IF(D12="日",IF(F12="",E12,(E12+F12)/2)*G12,IF(F12="",E12,(E12+F12)/2))*$C$1)</f>
        <v/>
      </c>
      <c r="L12" s="10">
        <f>IF(OR(K12="",H12=""),"",K12*H12)</f>
        <v/>
      </c>
      <c r="M12" s="10">
        <f>IF(OR(K12="",I12=""),"",K12*I12)</f>
        <v/>
      </c>
      <c r="N12" s="12">
        <f>IF(OR(M12="",J12=""),"",M12*J12)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0">
        <f>IF(E13="","",IF(D13="日",IF(F13="",E13,(E13+F13)/2)*G13,IF(F13="",E13,(E13+F13)/2))*$C$1)</f>
        <v/>
      </c>
      <c r="L13" s="10">
        <f>IF(OR(K13="",H13=""),"",K13*H13)</f>
        <v/>
      </c>
      <c r="M13" s="10">
        <f>IF(OR(K13="",I13=""),"",K13*I13)</f>
        <v/>
      </c>
      <c r="N13" s="12">
        <f>IF(OR(M13="",J13=""),"",M13*J13)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0">
        <f>IF(E14="","",IF(D14="日",IF(F14="",E14,(E14+F14)/2)*G14,IF(F14="",E14,(E14+F14)/2))*$C$1)</f>
        <v/>
      </c>
      <c r="L14" s="10">
        <f>IF(OR(K14="",H14=""),"",K14*H14)</f>
        <v/>
      </c>
      <c r="M14" s="10">
        <f>IF(OR(K14="",I14=""),"",K14*I14)</f>
        <v/>
      </c>
      <c r="N14" s="12">
        <f>IF(OR(M14="",J14=""),"",M14*J14)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0">
        <f>IF(E15="","",IF(D15="日",IF(F15="",E15,(E15+F15)/2)*G15,IF(F15="",E15,(E15+F15)/2))*$C$1)</f>
        <v/>
      </c>
      <c r="L15" s="10">
        <f>IF(OR(K15="",H15=""),"",K15*H15)</f>
        <v/>
      </c>
      <c r="M15" s="10">
        <f>IF(OR(K15="",I15=""),"",K15*I15)</f>
        <v/>
      </c>
      <c r="N15" s="12">
        <f>IF(OR(M15="",J15=""),"",M15*J15)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0">
        <f>IF(E16="","",IF(D16="日",IF(F16="",E16,(E16+F16)/2)*G16,IF(F16="",E16,(E16+F16)/2))*$C$1)</f>
        <v/>
      </c>
      <c r="L16" s="10">
        <f>IF(OR(K16="",H16=""),"",K16*H16)</f>
        <v/>
      </c>
      <c r="M16" s="10">
        <f>IF(OR(K16="",I16=""),"",K16*I16)</f>
        <v/>
      </c>
      <c r="N16" s="12">
        <f>IF(OR(M16="",J16=""),"",M16*J16)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0">
        <f>IF(E17="","",IF(D17="日",IF(F17="",E17,(E17+F17)/2)*G17,IF(F17="",E17,(E17+F17)/2))*$C$1)</f>
        <v/>
      </c>
      <c r="L17" s="10">
        <f>IF(OR(K17="",H17=""),"",K17*H17)</f>
        <v/>
      </c>
      <c r="M17" s="10">
        <f>IF(OR(K17="",I17=""),"",K17*I17)</f>
        <v/>
      </c>
      <c r="N17" s="12">
        <f>IF(OR(M17="",J17=""),"",M17*J17)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0">
        <f>IF(E18="","",IF(D18="日",IF(F18="",E18,(E18+F18)/2)*G18,IF(F18="",E18,(E18+F18)/2))*$C$1)</f>
        <v/>
      </c>
      <c r="L18" s="10">
        <f>IF(OR(K18="",H18=""),"",K18*H18)</f>
        <v/>
      </c>
      <c r="M18" s="10">
        <f>IF(OR(K18="",I18=""),"",K18*I18)</f>
        <v/>
      </c>
      <c r="N18" s="12">
        <f>IF(OR(M18="",J18=""),"",M18*J18)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0">
        <f>IF(E19="","",IF(D19="日",IF(F19="",E19,(E19+F19)/2)*G19,IF(F19="",E19,(E19+F19)/2))*$C$1)</f>
        <v/>
      </c>
      <c r="L19" s="10">
        <f>IF(OR(K19="",H19=""),"",K19*H19)</f>
        <v/>
      </c>
      <c r="M19" s="10">
        <f>IF(OR(K19="",I19=""),"",K19*I19)</f>
        <v/>
      </c>
      <c r="N19" s="12">
        <f>IF(OR(M19="",J19=""),"",M19*J19)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0">
        <f>IF(E20="","",IF(D20="日",IF(F20="",E20,(E20+F20)/2)*G20,IF(F20="",E20,(E20+F20)/2))*$C$1)</f>
        <v/>
      </c>
      <c r="L20" s="10">
        <f>IF(OR(K20="",H20=""),"",K20*H20)</f>
        <v/>
      </c>
      <c r="M20" s="10">
        <f>IF(OR(K20="",I20=""),"",K20*I20)</f>
        <v/>
      </c>
      <c r="N20" s="12">
        <f>IF(OR(M20="",J20=""),"",M20*J20)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0">
        <f>IF(E21="","",IF(D21="日",IF(F21="",E21,(E21+F21)/2)*G21,IF(F21="",E21,(E21+F21)/2))*$C$1)</f>
        <v/>
      </c>
      <c r="L21" s="10">
        <f>IF(OR(K21="",H21=""),"",K21*H21)</f>
        <v/>
      </c>
      <c r="M21" s="10">
        <f>IF(OR(K21="",I21=""),"",K21*I21)</f>
        <v/>
      </c>
      <c r="N21" s="12">
        <f>IF(OR(M21="",J21=""),"",M21*J21)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0">
        <f>IF(E22="","",IF(D22="日",IF(F22="",E22,(E22+F22)/2)*G22,IF(F22="",E22,(E22+F22)/2))*$C$1)</f>
        <v/>
      </c>
      <c r="L22" s="10">
        <f>IF(OR(K22="",H22=""),"",K22*H22)</f>
        <v/>
      </c>
      <c r="M22" s="10">
        <f>IF(OR(K22="",I22=""),"",K22*I22)</f>
        <v/>
      </c>
      <c r="N22" s="12">
        <f>IF(OR(M22="",J22=""),"",M22*J22)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0">
        <f>IF(E23="","",IF(D23="日",IF(F23="",E23,(E23+F23)/2)*G23,IF(F23="",E23,(E23+F23)/2))*$C$1)</f>
        <v/>
      </c>
      <c r="L23" s="10">
        <f>IF(OR(K23="",H23=""),"",K23*H23)</f>
        <v/>
      </c>
      <c r="M23" s="10">
        <f>IF(OR(K23="",I23=""),"",K23*I23)</f>
        <v/>
      </c>
      <c r="N23" s="12">
        <f>IF(OR(M23="",J23=""),"",M23*J23)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0">
        <f>IF(E24="","",IF(D24="日",IF(F24="",E24,(E24+F24)/2)*G24,IF(F24="",E24,(E24+F24)/2))*$C$1)</f>
        <v/>
      </c>
      <c r="L24" s="10">
        <f>IF(OR(K24="",H24=""),"",K24*H24)</f>
        <v/>
      </c>
      <c r="M24" s="10">
        <f>IF(OR(K24="",I24=""),"",K24*I24)</f>
        <v/>
      </c>
      <c r="N24" s="12">
        <f>IF(OR(M24="",J24=""),"",M24*J24)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0">
        <f>IF(E25="","",IF(D25="日",IF(F25="",E25,(E25+F25)/2)*G25,IF(F25="",E25,(E25+F25)/2))*$C$1)</f>
        <v/>
      </c>
      <c r="L25" s="10">
        <f>IF(OR(K25="",H25=""),"",K25*H25)</f>
        <v/>
      </c>
      <c r="M25" s="10">
        <f>IF(OR(K25="",I25=""),"",K25*I25)</f>
        <v/>
      </c>
      <c r="N25" s="12">
        <f>IF(OR(M25="",J25=""),"",M25*J25)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0">
        <f>IF(E26="","",IF(D26="日",IF(F26="",E26,(E26+F26)/2)*G26,IF(F26="",E26,(E26+F26)/2))*$C$1)</f>
        <v/>
      </c>
      <c r="L26" s="10">
        <f>IF(OR(K26="",H26=""),"",K26*H26)</f>
        <v/>
      </c>
      <c r="M26" s="10">
        <f>IF(OR(K26="",I26=""),"",K26*I26)</f>
        <v/>
      </c>
      <c r="N26" s="12">
        <f>IF(OR(M26="",J26=""),"",M26*J26)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0">
        <f>IF(E27="","",IF(D27="日",IF(F27="",E27,(E27+F27)/2)*G27,IF(F27="",E27,(E27+F27)/2))*$C$1)</f>
        <v/>
      </c>
      <c r="L27" s="10">
        <f>IF(OR(K27="",H27=""),"",K27*H27)</f>
        <v/>
      </c>
      <c r="M27" s="10">
        <f>IF(OR(K27="",I27=""),"",K27*I27)</f>
        <v/>
      </c>
      <c r="N27" s="12">
        <f>IF(OR(M27="",J27=""),"",M27*J27)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0">
        <f>IF(E28="","",IF(D28="日",IF(F28="",E28,(E28+F28)/2)*G28,IF(F28="",E28,(E28+F28)/2))*$C$1)</f>
        <v/>
      </c>
      <c r="L28" s="10">
        <f>IF(OR(K28="",H28=""),"",K28*H28)</f>
        <v/>
      </c>
      <c r="M28" s="10">
        <f>IF(OR(K28="",I28=""),"",K28*I28)</f>
        <v/>
      </c>
      <c r="N28" s="12">
        <f>IF(OR(M28="",J28=""),"",M28*J28)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0">
        <f>IF(E29="","",IF(D29="日",IF(F29="",E29,(E29+F29)/2)*G29,IF(F29="",E29,(E29+F29)/2))*$C$1)</f>
        <v/>
      </c>
      <c r="L29" s="10">
        <f>IF(OR(K29="",H29=""),"",K29*H29)</f>
        <v/>
      </c>
      <c r="M29" s="10">
        <f>IF(OR(K29="",I29=""),"",K29*I29)</f>
        <v/>
      </c>
      <c r="N29" s="12">
        <f>IF(OR(M29="",J29=""),"",M29*J29)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0">
        <f>IF(E30="","",IF(D30="日",IF(F30="",E30,(E30+F30)/2)*G30,IF(F30="",E30,(E30+F30)/2))*$C$1)</f>
        <v/>
      </c>
      <c r="L30" s="10">
        <f>IF(OR(K30="",H30=""),"",K30*H30)</f>
        <v/>
      </c>
      <c r="M30" s="10">
        <f>IF(OR(K30="",I30=""),"",K30*I30)</f>
        <v/>
      </c>
      <c r="N30" s="12">
        <f>IF(OR(M30="",J30=""),"",M30*J30)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0">
        <f>IF(E31="","",IF(D31="日",IF(F31="",E31,(E31+F31)/2)*G31,IF(F31="",E31,(E31+F31)/2))*$C$1)</f>
        <v/>
      </c>
      <c r="L31" s="10">
        <f>IF(OR(K31="",H31=""),"",K31*H31)</f>
        <v/>
      </c>
      <c r="M31" s="10">
        <f>IF(OR(K31="",I31=""),"",K31*I31)</f>
        <v/>
      </c>
      <c r="N31" s="12">
        <f>IF(OR(M31="",J31=""),"",M31*J31)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0">
        <f>IF(E32="","",IF(D32="日",IF(F32="",E32,(E32+F32)/2)*G32,IF(F32="",E32,(E32+F32)/2))*$C$1)</f>
        <v/>
      </c>
      <c r="L32" s="10">
        <f>IF(OR(K32="",H32=""),"",K32*H32)</f>
        <v/>
      </c>
      <c r="M32" s="10">
        <f>IF(OR(K32="",I32=""),"",K32*I32)</f>
        <v/>
      </c>
      <c r="N32" s="12">
        <f>IF(OR(M32="",J32=""),"",M32*J32)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0">
        <f>IF(E33="","",IF(D33="日",IF(F33="",E33,(E33+F33)/2)*G33,IF(F33="",E33,(E33+F33)/2))*$C$1)</f>
        <v/>
      </c>
      <c r="L33" s="10">
        <f>IF(OR(K33="",H33=""),"",K33*H33)</f>
        <v/>
      </c>
      <c r="M33" s="10">
        <f>IF(OR(K33="",I33=""),"",K33*I33)</f>
        <v/>
      </c>
      <c r="N33" s="12">
        <f>IF(OR(M33="",J33=""),"",M33*J33)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0">
        <f>IF(E34="","",IF(D34="日",IF(F34="",E34,(E34+F34)/2)*G34,IF(F34="",E34,(E34+F34)/2))*$C$1)</f>
        <v/>
      </c>
      <c r="L34" s="10">
        <f>IF(OR(K34="",H34=""),"",K34*H34)</f>
        <v/>
      </c>
      <c r="M34" s="10">
        <f>IF(OR(K34="",I34=""),"",K34*I34)</f>
        <v/>
      </c>
      <c r="N34" s="12">
        <f>IF(OR(M34="",J34=""),"",M34*J34)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0">
        <f>IF(E35="","",IF(D35="日",IF(F35="",E35,(E35+F35)/2)*G35,IF(F35="",E35,(E35+F35)/2))*$C$1)</f>
        <v/>
      </c>
      <c r="L35" s="10">
        <f>IF(OR(K35="",H35=""),"",K35*H35)</f>
        <v/>
      </c>
      <c r="M35" s="10">
        <f>IF(OR(K35="",I35=""),"",K35*I35)</f>
        <v/>
      </c>
      <c r="N35" s="12">
        <f>IF(OR(M35="",J35=""),"",M35*J35)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0">
        <f>IF(E36="","",IF(D36="日",IF(F36="",E36,(E36+F36)/2)*G36,IF(F36="",E36,(E36+F36)/2))*$C$1)</f>
        <v/>
      </c>
      <c r="L36" s="10">
        <f>IF(OR(K36="",H36=""),"",K36*H36)</f>
        <v/>
      </c>
      <c r="M36" s="10">
        <f>IF(OR(K36="",I36=""),"",K36*I36)</f>
        <v/>
      </c>
      <c r="N36" s="12">
        <f>IF(OR(M36="",J36=""),"",M36*J36)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0">
        <f>IF(E37="","",IF(D37="日",IF(F37="",E37,(E37+F37)/2)*G37,IF(F37="",E37,(E37+F37)/2))*$C$1)</f>
        <v/>
      </c>
      <c r="L37" s="10">
        <f>IF(OR(K37="",H37=""),"",K37*H37)</f>
        <v/>
      </c>
      <c r="M37" s="10">
        <f>IF(OR(K37="",I37=""),"",K37*I37)</f>
        <v/>
      </c>
      <c r="N37" s="12">
        <f>IF(OR(M37="",J37=""),"",M37*J37)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0">
        <f>IF(E38="","",IF(D38="日",IF(F38="",E38,(E38+F38)/2)*G38,IF(F38="",E38,(E38+F38)/2))*$C$1)</f>
        <v/>
      </c>
      <c r="L38" s="10">
        <f>IF(OR(K38="",H38=""),"",K38*H38)</f>
        <v/>
      </c>
      <c r="M38" s="10">
        <f>IF(OR(K38="",I38=""),"",K38*I38)</f>
        <v/>
      </c>
      <c r="N38" s="12">
        <f>IF(OR(M38="",J38=""),"",M38*J38)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0">
        <f>IF(E39="","",IF(D39="日",IF(F39="",E39,(E39+F39)/2)*G39,IF(F39="",E39,(E39+F39)/2))*$C$1)</f>
        <v/>
      </c>
      <c r="L39" s="10">
        <f>IF(OR(K39="",H39=""),"",K39*H39)</f>
        <v/>
      </c>
      <c r="M39" s="10">
        <f>IF(OR(K39="",I39=""),"",K39*I39)</f>
        <v/>
      </c>
      <c r="N39" s="12">
        <f>IF(OR(M39="",J39=""),"",M39*J39)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0">
        <f>IF(E40="","",IF(D40="日",IF(F40="",E40,(E40+F40)/2)*G40,IF(F40="",E40,(E40+F40)/2))*$C$1)</f>
        <v/>
      </c>
      <c r="L40" s="10">
        <f>IF(OR(K40="",H40=""),"",K40*H40)</f>
        <v/>
      </c>
      <c r="M40" s="10">
        <f>IF(OR(K40="",I40=""),"",K40*I40)</f>
        <v/>
      </c>
      <c r="N40" s="12">
        <f>IF(OR(M40="",J40=""),"",M40*J40)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0">
        <f>IF(E41="","",IF(D41="日",IF(F41="",E41,(E41+F41)/2)*G41,IF(F41="",E41,(E41+F41)/2))*$C$1)</f>
        <v/>
      </c>
      <c r="L41" s="10">
        <f>IF(OR(K41="",H41=""),"",K41*H41)</f>
        <v/>
      </c>
      <c r="M41" s="10">
        <f>IF(OR(K41="",I41=""),"",K41*I41)</f>
        <v/>
      </c>
      <c r="N41" s="12">
        <f>IF(OR(M41="",J41=""),"",M41*J41)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0">
        <f>IF(E42="","",IF(D42="日",IF(F42="",E42,(E42+F42)/2)*G42,IF(F42="",E42,(E42+F42)/2))*$C$1)</f>
        <v/>
      </c>
      <c r="L42" s="10">
        <f>IF(OR(K42="",H42=""),"",K42*H42)</f>
        <v/>
      </c>
      <c r="M42" s="10">
        <f>IF(OR(K42="",I42=""),"",K42*I42)</f>
        <v/>
      </c>
      <c r="N42" s="12">
        <f>IF(OR(M42="",J42=""),"",M42*J42)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0">
        <f>IF(E43="","",IF(D43="日",IF(F43="",E43,(E43+F43)/2)*G43,IF(F43="",E43,(E43+F43)/2))*$C$1)</f>
        <v/>
      </c>
      <c r="L43" s="10">
        <f>IF(OR(K43="",H43=""),"",K43*H43)</f>
        <v/>
      </c>
      <c r="M43" s="10">
        <f>IF(OR(K43="",I43=""),"",K43*I43)</f>
        <v/>
      </c>
      <c r="N43" s="12">
        <f>IF(OR(M43="",J43=""),"",M43*J43)</f>
        <v/>
      </c>
    </row>
  </sheetData>
  <dataValidations count="3">
    <dataValidation sqref="B4:B43" showDropDown="0" showInputMessage="0" showErrorMessage="0" allowBlank="1" type="list">
      <formula1>"可燃ごみ,生ごみ,不燃ごみ,瓶,缶,ペットボトル,段ボール,その他"</formula1>
    </dataValidation>
    <dataValidation sqref="C4:C43" showDropDown="0" showInputMessage="0" showErrorMessage="0" allowBlank="1" type="list">
      <formula1>"袋,枚"</formula1>
    </dataValidation>
    <dataValidation sqref="D4:D43" showDropDown="0" showInputMessage="0" showErrorMessage="0" allowBlank="1" type="list">
      <formula1>"日,週"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2026-08-06T07:27:40Z</dcterms:created>
  <dcterms:modified xsi:type="dcterms:W3CDTF">2026-08-06T07:27:40Z</dcterms:modified>
</cp:coreProperties>
</file>